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AFA1CB3-541D-4F68-B62E-4C94756A9837}" xr6:coauthVersionLast="45" xr6:coauthVersionMax="47" xr10:uidLastSave="{00000000-0000-0000-0000-000000000000}"/>
  <bookViews>
    <workbookView xWindow="-120" yWindow="-120" windowWidth="20730" windowHeight="11160" tabRatio="603" activeTab="1" xr2:uid="{00000000-000D-0000-FFFF-FFFF00000000}"/>
  </bookViews>
  <sheets>
    <sheet name="KAS SAYUR 2026" sheetId="1" r:id="rId1"/>
    <sheet name="KAS KEBUN JUNI 26" sheetId="2" r:id="rId2"/>
  </sheets>
  <definedNames>
    <definedName name="_xlnm._FilterDatabase" localSheetId="1" hidden="1">'KAS KEBUN JUNI 26'!$C$8:$H$342</definedName>
    <definedName name="_xlnm.Print_Area" localSheetId="1">'KAS KEBUN JUNI 26'!$B$1:$H$225</definedName>
    <definedName name="_xlnm.Print_Area" localSheetId="0">'KAS SAYUR 2026'!$B$1:$H$51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5" i="2" l="1"/>
  <c r="G113" i="2"/>
  <c r="H8" i="1" l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1" i="1" l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22" i="2"/>
  <c r="J524" i="2"/>
  <c r="H44" i="1" l="1"/>
  <c r="H45" i="1" s="1"/>
  <c r="H46" i="1" s="1"/>
  <c r="H47" i="1" s="1"/>
  <c r="H48" i="1" s="1"/>
  <c r="H49" i="1" s="1"/>
  <c r="H50" i="1" s="1"/>
  <c r="H51" i="1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l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l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l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l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l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l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l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l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l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l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l="1"/>
  <c r="H341" i="2" s="1"/>
  <c r="H342" i="2" s="1"/>
</calcChain>
</file>

<file path=xl/sharedStrings.xml><?xml version="1.0" encoding="utf-8"?>
<sst xmlns="http://schemas.openxmlformats.org/spreadsheetml/2006/main" count="1160" uniqueCount="298">
  <si>
    <t>KAS - KEBUN TAYAN</t>
  </si>
  <si>
    <t>Penanggung Jawab : _______</t>
  </si>
  <si>
    <t>DATE</t>
  </si>
  <si>
    <t xml:space="preserve">KETERANGAN </t>
  </si>
  <si>
    <t>DEBIT</t>
  </si>
  <si>
    <t>KREDIT</t>
  </si>
  <si>
    <t>SALDO</t>
  </si>
  <si>
    <t>Dibuat oleh,</t>
  </si>
  <si>
    <t>Disetujui,</t>
  </si>
  <si>
    <t>Admin Staff</t>
  </si>
  <si>
    <t>Manager Site</t>
  </si>
  <si>
    <t>SALDO AWAL</t>
  </si>
  <si>
    <t>KAS - SAYUR</t>
  </si>
  <si>
    <t xml:space="preserve">PENANGGUNG JAWAB : MARGARET </t>
  </si>
  <si>
    <t>PENERIMA</t>
  </si>
  <si>
    <t>NO</t>
  </si>
  <si>
    <t>ACC</t>
  </si>
  <si>
    <t xml:space="preserve"> </t>
  </si>
  <si>
    <t xml:space="preserve">   5102.04.05</t>
  </si>
  <si>
    <t xml:space="preserve">   5101.09.02</t>
  </si>
  <si>
    <t>EDI</t>
  </si>
  <si>
    <t>PUJI W</t>
  </si>
  <si>
    <t>1109.07.04</t>
  </si>
  <si>
    <t>DANANG</t>
  </si>
  <si>
    <t xml:space="preserve">UANG GRADING PT ASL  25.000 B 9645 UVZ </t>
  </si>
  <si>
    <t xml:space="preserve">   6200.10.01</t>
  </si>
  <si>
    <t>KAS MASUK</t>
  </si>
  <si>
    <t>MARGARET</t>
  </si>
  <si>
    <t>LUKAS</t>
  </si>
  <si>
    <t xml:space="preserve">UANG MAKAN AN DANANG 25.000 B 9645 UVZ </t>
  </si>
  <si>
    <t>1109.07.02</t>
  </si>
  <si>
    <t xml:space="preserve">UANG MAKAN AN PARNI 25.000 B 9908 PDD </t>
  </si>
  <si>
    <t>PARNI</t>
  </si>
  <si>
    <t>UANG JANGKOS ASL 50.000 B 9908 PDD</t>
  </si>
  <si>
    <t>NO. ACC</t>
  </si>
  <si>
    <t>PETRUS</t>
  </si>
  <si>
    <t>ANDY</t>
  </si>
  <si>
    <t>1109.07.03</t>
  </si>
  <si>
    <t>UANG GRADING PT ASL  25.000 B 9908 PDD</t>
  </si>
  <si>
    <t xml:space="preserve">UANG MAKAN AN EKO PRASETYO 25.000 B 9906 PDD </t>
  </si>
  <si>
    <t>UANG GRADING PT ASL  25.000 B 9906 PDD</t>
  </si>
  <si>
    <t>UANG JANGKOS ASL 50.000 B 9906 PDD</t>
  </si>
  <si>
    <t>EKO P</t>
  </si>
  <si>
    <t xml:space="preserve">  1101.03</t>
  </si>
  <si>
    <t xml:space="preserve">   6200.11.01</t>
  </si>
  <si>
    <t>UANG MAKAN AN PUJI W 25.000 B 9804 PDD</t>
  </si>
  <si>
    <t>UANG GRADING PT ASL  25.000 B 9804 PDD</t>
  </si>
  <si>
    <t>1109.07.07</t>
  </si>
  <si>
    <t>BULAN JUNI 2026</t>
  </si>
  <si>
    <t>BAYAR UANG MAKAN AGUS SALIM DI JAKARTA TGL 01 SD 07 JUNI 2026 PER HARI 50.000</t>
  </si>
  <si>
    <t xml:space="preserve">PEMBELIAN GAS 12 KG BRIGHT </t>
  </si>
  <si>
    <t>ISI TOKEN LISTRIK KANTOR PALAPA</t>
  </si>
  <si>
    <t>6200.12.09</t>
  </si>
  <si>
    <t>ISI PERTAMAX MOBIL INNOVA B 2471 BBG</t>
  </si>
  <si>
    <t>ISI AIR GALON KANTOR PALAPA</t>
  </si>
  <si>
    <t>JUNAIDI</t>
  </si>
  <si>
    <t>CLAIM BIAYA PERBAIKAN MESIN KETAM PAK HERI TUKANG TGL 24 MEI 2026</t>
  </si>
  <si>
    <t xml:space="preserve">   6200.11.03</t>
  </si>
  <si>
    <t>BELI SAYUR REBUNG, PAKIS UNTUK PAK BENNY 2X</t>
  </si>
  <si>
    <t>PEMBELIAN GAS 3 KG = 2 BH 70.000 ISI AIR GALON 6 BH = 30.000</t>
  </si>
  <si>
    <t>PEMBUATAN SKLD B 9868 PBC DAN B 2471 BBG  UNTUK 3 BULAN</t>
  </si>
  <si>
    <t>BAYAR NOTA SAYUR BASAH DAN LAUK BASAH TGL 04 APRIL 2026</t>
  </si>
  <si>
    <t>ATILA</t>
  </si>
  <si>
    <t>UANG MAKAN AN DANANG 25.000 B 9645 UVZ RIT 1</t>
  </si>
  <si>
    <t>BAYAR NOTA SAYUR BASAH DAN LAUK BASAH TGL 06 APRIL 2026</t>
  </si>
  <si>
    <t>BAYAR NOTA SAYUR BASAH DAN LAUK BASAH TGL 24 APRIL 2026</t>
  </si>
  <si>
    <t>BAYAR NOTA SAYUR BASAH DAN LAUK BASAH TGL 08 APRIL 2026</t>
  </si>
  <si>
    <t xml:space="preserve">  6200.30.02</t>
  </si>
  <si>
    <t>PEMBAYARAN BIAYA RETRIBUSI KIRIM KE PT ASL KE DESA CEMPEDAK</t>
  </si>
  <si>
    <t>DS CEMPEDAK</t>
  </si>
  <si>
    <t xml:space="preserve">   6200.11.04</t>
  </si>
  <si>
    <t>SERVICE RUTIN MOTOR KANTOR PONTIANAK B 3393 SOP</t>
  </si>
  <si>
    <t>ISI PERTALITE MOTOR KANTOR PONTIANAK B 3393 SOP</t>
  </si>
  <si>
    <t>UANG GRADING PT ASL  25.000 B 9804 PDD TGL 3 JUNI 2026</t>
  </si>
  <si>
    <t>UANG JANGKOS ASL 50.000 B 9804 PDD TGL 3 JUNI 2026</t>
  </si>
  <si>
    <t>UANG MAKAN AN EKO PRASETYO 25.000 B 9906 PDD TGL 3 JUNI 2026</t>
  </si>
  <si>
    <t>UANG GRADING PT ASL  25.000 B 9906 PDDTGL 3 JUNI 2026</t>
  </si>
  <si>
    <t>UANG JANGKOS ASL 50.000 B 9906 PDD TGL 3 JUNI 2026</t>
  </si>
  <si>
    <t xml:space="preserve">GANTI BAN DALAM MOTOR KANTOR PONTIANAK B 3393 SOP </t>
  </si>
  <si>
    <t>UANG MAKAN AN PARNI 25.000 B 9908 PDD RIT 1 TGL 4 JUNI 2026</t>
  </si>
  <si>
    <t>UANG GRADING PT ASL  25.000 B 9908 PDD RIT 1 TGL 4 JUNI 2026</t>
  </si>
  <si>
    <t>UANG JANGKOS ASL 50.000 B 9908 PDD RIT 1 TGL 4 JUNI 2026</t>
  </si>
  <si>
    <t>UANG MAKAN AN EKO PRASETYO 25.000 B 9906 PDD  TGL 4 JUNI 2026</t>
  </si>
  <si>
    <t>UANG GRADING PT ASL  25.000 B 9906 PDD TGL 4 JUNI 2026</t>
  </si>
  <si>
    <t>UANG JANGKOS ASL 50.000 B 9906 PDD TGL 4 JUNI 2026</t>
  </si>
  <si>
    <t>UANG MAKAN AN PARNI 25.000 B 9908 PDD RIT 2 TGL 4 JUNI 2026</t>
  </si>
  <si>
    <t>UANG GRADING PT ASL  25.000 B 9908 PDD RIT 2 TGL 4 JUNI 2026</t>
  </si>
  <si>
    <t>UANG JANGKOS ASL 50.000 B 9908 PDD RIT 2 TGL 4 JUNI 2026</t>
  </si>
  <si>
    <t>UANG MAKAN AN PUJI W KE KIJING ANGKUT PUPUK NPK 13 = 7.500 KG B 9006 UDH TGL 5 JUNI 2026</t>
  </si>
  <si>
    <t>ONGKOS MUAT PUPUK TGL 5 JUNI 2026</t>
  </si>
  <si>
    <t>BIAYA TAXI BAWA BARANG SPREPART DARI PONTIANAK - KEBUN TL 4 JUNI 2026</t>
  </si>
  <si>
    <t>ISWAN</t>
  </si>
  <si>
    <t>BAYAR NOTA SAYUR BASAH DAN LAUK BASAH TGL 16 APRIL 2026</t>
  </si>
  <si>
    <t>BAYAR NOTA SAYUR BASAH DAN LAUK BASAH TGL 26 APRIL 2026</t>
  </si>
  <si>
    <t>BAYAR NOTA MAKANAN KERING TGL 12 MEI 2026</t>
  </si>
  <si>
    <t>OPIK</t>
  </si>
  <si>
    <t>PEMBELIAN 3 BH TABUNG GAS UK 3 KG /35.000</t>
  </si>
  <si>
    <t>PEMBELIAN 3 BH AIR GALON UNTUK KEBUN / 6000</t>
  </si>
  <si>
    <t>PEMBELIAN 4 BH AIR GALON UNTUK KEBUN / 6000 TGL 5 JUNI 2026</t>
  </si>
  <si>
    <t>UANG MAKAN AN PARNI 25.000 B 9908 PDD TGL 13 MEI 2026</t>
  </si>
  <si>
    <t>UANG GRADING PT ASL  25.000 B 9908 PDD TGL 13 MEI 2026</t>
  </si>
  <si>
    <t>UANG JANGKOS ASL 50.000 B 9908 PDD TGL 13 MEI 2026</t>
  </si>
  <si>
    <t>PEMBELIAN BENSIN 20 LITER UNTUK KANTOR</t>
  </si>
  <si>
    <t>1109.07.01</t>
  </si>
  <si>
    <t xml:space="preserve">UANG MAKAN AN HERI S 25.000 B 9023 PDD </t>
  </si>
  <si>
    <t>HERI S</t>
  </si>
  <si>
    <t>UANG GRADING PT ASL  25.000 B 9023 PDD</t>
  </si>
  <si>
    <t xml:space="preserve">UANG JANGKOS ASL 50.000 B 9023 PDD </t>
  </si>
  <si>
    <t>UANG MAKAN AN PARNI KE PONTIANAK ANGKUT GORONG2, SPAREPART DI PONTIANAK B 9908 PDD</t>
  </si>
  <si>
    <t>UANG MAKAN AN DANANG 25.000 B 9645 UVZ RIT 2 TGL 13 MEI 2026</t>
  </si>
  <si>
    <t>MAKAN PAK BENNY DI PONTIANAK TGL 31 MEI 2026</t>
  </si>
  <si>
    <t>MAKAN PAK BENNY DI PONTIANAK TGL 01 JUNI 2026</t>
  </si>
  <si>
    <t>PEMBAYARAN TAGIHAN KARTU HALO PAK BENNY MEI 2026</t>
  </si>
  <si>
    <t>UANG MAKAN AN PARNI 25.000 B 9908 PDD TGL 5 JUNI 2026</t>
  </si>
  <si>
    <t>UANG GRADING PT ASL  25.000 B 9908 PDD TGL 5 JUNI 2026</t>
  </si>
  <si>
    <t>UANG JANGKOS ASL 50.000 B 9908 PDD TGL 5 JUNI 2026</t>
  </si>
  <si>
    <t>UANG MAKAN AN EKO PRASETYO 25.000 B 9906 PDD  TGL 5 JUNI 2026</t>
  </si>
  <si>
    <t>UANG GRADING PT ASL  25.000 B 9906 PDD TGL 5 JUNI 2026</t>
  </si>
  <si>
    <t>UANG JANGKOS ASL 50.000 B 9906 PDD TGL 5 JUNI 2026</t>
  </si>
  <si>
    <t xml:space="preserve">UANG JANGKOS ASL 50.000 B 9645 UVZ </t>
  </si>
  <si>
    <t>ISI PERTALITE MOTOR KANTOR PALAPA TGL 3 JUNI 2026</t>
  </si>
  <si>
    <t>ISI PERTALITE MOTOR KANTOR PALAPA TGL 28 MEI 2026</t>
  </si>
  <si>
    <t>ISI PERTALITE MOTOR KANTOR PALAPA TGL 4 JUNI 2026</t>
  </si>
  <si>
    <t>ISI PERTALITE MOTOR KANTOR PALAPA TGL 6 JUNI 2026</t>
  </si>
  <si>
    <t>UANG MAKAN AN DANANG 25.000 B 9645 UVZ TGL 5 JUNI 2026</t>
  </si>
  <si>
    <t>UANG GRADING PT ASL  25.000 B 9645 UVZ TGL 5 JUNI 2026</t>
  </si>
  <si>
    <t>UANG JANGKOS ASL 50.000 B 9645 UVZ TGL 5 JUNI 2026</t>
  </si>
  <si>
    <t xml:space="preserve">UANG MAKAN AN EKO PRASETYO 25.000 B 9906 PDD  </t>
  </si>
  <si>
    <t>UANG DINAS ISMUR SURVEYOR KE SINTANG UNTUK IKUT SURVEY LAHAN</t>
  </si>
  <si>
    <t>UANG DINAS PETRUS KE SINTANG BAWA PAK ENDRO</t>
  </si>
  <si>
    <t>ISMUR</t>
  </si>
  <si>
    <t>BIAYA KIRIM DOKUMEN KE KPP SINGKAWANG TGL  5 JUNI 2026</t>
  </si>
  <si>
    <t>BIAYA KIRIM DOKUMEN KE LAMPUNG</t>
  </si>
  <si>
    <t>BIAYA KIRIM CARGO BARANG PAK BENNY TGL 6 JUNI 2026</t>
  </si>
  <si>
    <t>PEMBELIAN LAKBAN BENING UNTUK KANTOR PALAPA</t>
  </si>
  <si>
    <t>PEMBELIAN PERTALITE 5 LITER UNTUK KB 4021 XH</t>
  </si>
  <si>
    <t>AGUS SALIM</t>
  </si>
  <si>
    <t>BAYAR UANG MAKAN AGUS SALIM DI JAKARTA TGL 08 SD 20 JUNI 2026 PER HARI 50.000</t>
  </si>
  <si>
    <t xml:space="preserve">UANG GRADING PT ASL  25.000 B 9908 PDD </t>
  </si>
  <si>
    <t>UANG MAKAN AN PUJI W 25.000 B 9006 UDH</t>
  </si>
  <si>
    <t>UANG GRADING PT ASL  25.000 B 9006 UDH</t>
  </si>
  <si>
    <t>1109.07.10</t>
  </si>
  <si>
    <t>BIAYA TAXI KIRIM BARANG DARI PONTIANAK KE KEBUN</t>
  </si>
  <si>
    <t>GIAN FIKHAR</t>
  </si>
  <si>
    <t>ANTON</t>
  </si>
  <si>
    <t>PEMBAYARAN NOTA DI TB IKN PEMBELIAN ATK KANTOR STAPLES DLL TGL 28 MEI 2026</t>
  </si>
  <si>
    <t>TB IKN</t>
  </si>
  <si>
    <t>CLAIM BIAYA GANTI BAN DALAM BARU DAN SELENDANG B 9645 UVZ TGL 29 MEI 2026</t>
  </si>
  <si>
    <t>PEMBELIAN REFIL GAS OKSYGEN UNTUK WORKSHOP KEBUN 2 TABUNG</t>
  </si>
  <si>
    <t xml:space="preserve">PEMBELIAN 6 BH AIR GALON UNTUK KEBUN / 6000 </t>
  </si>
  <si>
    <t xml:space="preserve">PEMBELIAN GAS 2 BH </t>
  </si>
  <si>
    <t xml:space="preserve">PEMBELIAN 4 BH AIR GALON UNTUK KEBUN / 6000 </t>
  </si>
  <si>
    <t>HERU</t>
  </si>
  <si>
    <t>PEMBELIAN KEPALA REGULATOR UNTUK GAS MESS MANDOR</t>
  </si>
  <si>
    <t>PEMBAYARAN PEMBELIAN U BOLT DI BENGKEL ANTON TGL 25 MEI 2026 UNTUK B 9906 PDD</t>
  </si>
  <si>
    <t>YANDI</t>
  </si>
  <si>
    <t>CLAIM PERTALITE B 4227 BPA AN YANDI TGL 12,14,17,20,25,30 APRIL DAN PER STANDAR, KULIT JOK 19 APRIL 2026</t>
  </si>
  <si>
    <t>CLAIM PERTALITE B 4227 BPA AN YANDI TGL 2,5,8,11 MEI 2026</t>
  </si>
  <si>
    <t>CLAIM BIAYA BEROBAT AN YANDI TGL 10 MEI 2026</t>
  </si>
  <si>
    <t>CLAIM PERTALITE B 4227 BPA AN YANDI TGL 6,8,10,18 MEI DAN 2 JUNI 2026</t>
  </si>
  <si>
    <t>SADRI</t>
  </si>
  <si>
    <t>TAMBUNAN</t>
  </si>
  <si>
    <t>CLAIM GANTI CDI UNTUK MOTOR WIN MERAH TGL 18 MEI 2026 DAN BUSY TGL 24 MEI 2026</t>
  </si>
  <si>
    <t>CLAIM PERTALITE MOTOR WIN MERAH TGL 20 MEI 2026</t>
  </si>
  <si>
    <t>CLAIM PERTALITE KB 2041 XH TGL 21 DAN 26 MEI 2026</t>
  </si>
  <si>
    <t>CLAIM PERTALITE MOTOR WIN MERAH TGL 20 MEI, 2 DAN 8 JUNI 2026</t>
  </si>
  <si>
    <t>ENTERTAIN MAKAN DGN OCA TEMAN PAK BENNY</t>
  </si>
  <si>
    <t>CLAIM GANTI KAMPAS REM KB 3691 RQ DAN ISI PERTALITE TGL 24 MEI DAN 9 JUNI 2026</t>
  </si>
  <si>
    <t>AGUS</t>
  </si>
  <si>
    <t xml:space="preserve">UANG GRADING PT SSS  25.000 B 9645 UVZ </t>
  </si>
  <si>
    <t xml:space="preserve">UANG MAKAN AN PUJI W KE KIJING ANGKUT PUPUK NPK 13 = 7.500 KG B 9006 UDH </t>
  </si>
  <si>
    <t>UANG MAKAN AN PARNI 25.000 B 9908 PDD RIT 1</t>
  </si>
  <si>
    <t>UANG JANGKOS SSS 50.000 B 9908 PDD RIT 1</t>
  </si>
  <si>
    <t>UANG GRADING PT SSS  50.000 B 9908 PDD RIT 1</t>
  </si>
  <si>
    <t>UANG MAKAN AN PARNI 25.000 B 9908 PDD RIT 2</t>
  </si>
  <si>
    <t>UANG GRADING PT ASL  25.000 B 9908 PDD RIT 2</t>
  </si>
  <si>
    <t>UANG JANGKOS ASL 50.000 B 9908 PDD RIT 2</t>
  </si>
  <si>
    <t>PEMBAYARAN PEMBELIAN JARING ANAK AYAM UNTUK KANTOR PALAPA</t>
  </si>
  <si>
    <t xml:space="preserve">UANG JANGKOS ASL 50.000 B 9908 PDD </t>
  </si>
  <si>
    <t>PEMBAYARAN PEMBELIAN UNICON KAPASITOR UNTUK MESIN CUCI KANTOR</t>
  </si>
  <si>
    <t>VEDI</t>
  </si>
  <si>
    <t>UANG JANGKOS ASL 50.000 B 9006 PDD</t>
  </si>
  <si>
    <t>BIAYA KIRIM BARANG L300 KE JAKARTA</t>
  </si>
  <si>
    <t xml:space="preserve">BIAYA KIRIM OBAT PAK BENNY KE JAKARTA </t>
  </si>
  <si>
    <t xml:space="preserve">   6200.17.02</t>
  </si>
  <si>
    <t>6200.17.01</t>
  </si>
  <si>
    <t>PEMBELIAN PERTALITE 5 LITER UNTUK MESIN BIBITAN</t>
  </si>
  <si>
    <t>UANG MAKAN AN PUJI KE PONTIANAK - AMBAWANG AMBIL GORONG2 DAN SPAREPART 15 JUNI 2026 B 9006 UDH</t>
  </si>
  <si>
    <t>UANG MAKAN AN PUJI W 25.000 B 9006 UDH TGL 15 JUNI 2026</t>
  </si>
  <si>
    <t>UANG GRADING PT SSS  50.000 B 9006 UDH TGL 15 JUNI 2026</t>
  </si>
  <si>
    <t>UANG MAKAN AN DANANG 25.000 B 9645 UVZ TGL 15 JUNI 2026</t>
  </si>
  <si>
    <t>UANG GRADING PT ASL  25.000 B 9645 UVZ TGL 15 JUNI 2026</t>
  </si>
  <si>
    <t>REO</t>
  </si>
  <si>
    <t>CLAIM BIAYA BEROBAT AN REO RAHMADAN TGL 8 JUNI 2026</t>
  </si>
  <si>
    <t>CLAIM OLI AN ANTON MANDOR PERAWATAN DIV 2 BULAN MEI 2026 TGL 28 MEI 2026</t>
  </si>
  <si>
    <t>CLAIM OLI AN ARYA MANDOR PANEN DIV 2 BULAN JUNI 2026 TGL 7 JUNI 2026</t>
  </si>
  <si>
    <t>ARYA</t>
  </si>
  <si>
    <t>UANG MAKAN AN HERI H 25.000 B 9079 UDH</t>
  </si>
  <si>
    <t>UANG GRADING PT ASL  25.000 B 9079 UDH</t>
  </si>
  <si>
    <t>UANG JANGKOS ASL 50.000 B 9079 UDH</t>
  </si>
  <si>
    <t>UANG GRADING PT ASL  25.000 B 9908 PDD RIT 1</t>
  </si>
  <si>
    <t>UANG JANGKOS ASL 50.000 B 9908 PDD RIT 1</t>
  </si>
  <si>
    <t>CLAIM PARKIR MOBIL SEPUTARAN PONTIANAK BAWA TAMU DAN PAK BENNY TGL 28 MEI SD 17 JUNI 2026</t>
  </si>
  <si>
    <t>HERI H</t>
  </si>
  <si>
    <t>CLAIM BEROBAT AN HERI H TANGGAL 14 JUNI 2026</t>
  </si>
  <si>
    <t>BIAYA TAXI PONTIANAK - KEBUN BAWA SPAREPART</t>
  </si>
  <si>
    <t>HARRY</t>
  </si>
  <si>
    <t>UANG MAKAN AN HERI H 25.000 B 9804 PDD</t>
  </si>
  <si>
    <t>UANG JANGKOS ASL 50.000 B 9804 PDD</t>
  </si>
  <si>
    <t>PEMBELIAN PERTALITE 15 LITER UNTUK MESIN BIBITAN</t>
  </si>
  <si>
    <t>PEMBELIAN PERTALITE 5 LITER UNTUK DIV 2</t>
  </si>
  <si>
    <t>UANG MAKAN AN HERI S 25.000 B 9006 UDH KE KIJING ANGKUT PUPUK NPK 13 = 7500 KG</t>
  </si>
  <si>
    <t>UANG MAKAN AN EKO PRASETYO 25.000 B 9906 PDD  RIT 1</t>
  </si>
  <si>
    <t>UANG GRADING PT ASL  25.000 B 9906 PDD RIT 1</t>
  </si>
  <si>
    <t>UANG JANGKOS ASL 50.000 B 9906 PDD RIT 1</t>
  </si>
  <si>
    <t>UANG JANGKOS ASL 50.000 B 9906 PDD BAWA BUAH BLOK O</t>
  </si>
  <si>
    <t>UANG MAKAN AN PUJI W H 25.000 B 9804 PDD</t>
  </si>
  <si>
    <t>UANG MAKAN AN PUJI W 125.000 B 9841 GYT KE KIJING ANGKUT PUPUK NPK 13 = 7500 KG</t>
  </si>
  <si>
    <t>BAYAR NOTA SAYUR BASAH DAN LAUK BASAH TGL 28 APRIL 2026</t>
  </si>
  <si>
    <t>BAYAR NOTA SAYUR BASAH DAN LAUK BASAH TGL 3 MEI 2026</t>
  </si>
  <si>
    <t>BAYAR NOTA MAKANAN KERING TGL 19 MEI 2026</t>
  </si>
  <si>
    <t>BAYAR NOTA MAKANAN KERING TGL 23 MEI 2026</t>
  </si>
  <si>
    <t>PEMBELIAN ISI ULANG AIR GALON 6 GALON/ 6000</t>
  </si>
  <si>
    <t>PEMBELIAN GAS 3 KG SEBANYAK 3 BH / 37.000</t>
  </si>
  <si>
    <t>PEMBELIAN GAS 1 BH UNTUK DIV 2/ 37.000</t>
  </si>
  <si>
    <t>PEMBELIAN GAS BRIGHT 12 KG 265.000, ISI ULANG AIR GALON 5 BH 30.000</t>
  </si>
  <si>
    <t>PEMBELIAN GAS 3 KG = 1 BH / 37.000 ISI AIR GALON 2 BH /12.000</t>
  </si>
  <si>
    <t>IURAN SAMPAH UNTUK KANTOR PALAPA BULAN JUNI 2026</t>
  </si>
  <si>
    <t>ISI PERTALITE MOTOR KANTOR PALAPA</t>
  </si>
  <si>
    <t>PEMBAYARAN KERTAS HVS APRIL 2026</t>
  </si>
  <si>
    <t>PEMBELIAN PERTALITE 40 LITER UNTUK KANTOR</t>
  </si>
  <si>
    <t>PEMBELIAN RINSO 10 BH UNTUK CUCI MOBIL / 5000</t>
  </si>
  <si>
    <t xml:space="preserve">UANG GRADING PT ASL  25.000 B 9906 PDD </t>
  </si>
  <si>
    <t>UANG JANGKOS ASL 50.000 B 9645 UVZ</t>
  </si>
  <si>
    <t>UANG MAKAN AN HERI S H 25.000 B 9804 PDD</t>
  </si>
  <si>
    <t>PEMBELIAN ENGSEL DAN GEMBOK UNTUK WORKSHOP</t>
  </si>
  <si>
    <t>ROHMAN</t>
  </si>
  <si>
    <t>UANG ES UNTUK BURUH</t>
  </si>
  <si>
    <t>PEMBELIAN BAN ARCO 2 BH UNTUK DIVISI 2</t>
  </si>
  <si>
    <t>PEMBELIAN GAS 3 KG = 1 BH / 37.000 ISI AIR GALON 3 BH /12.000</t>
  </si>
  <si>
    <t xml:space="preserve">  7100.03.01</t>
  </si>
  <si>
    <t>ADMIN TARIK UANG 20.000  DAN ADMIN BANK LAIN 2.500</t>
  </si>
  <si>
    <t>CLAIM BIAYA FORKLIF MUAT PUPUK KE HINO TGL 22 JUNI 2026</t>
  </si>
  <si>
    <t>PEMBUATAN PLAT MOTOR 1 SET KB 2114 XI DARI BIM</t>
  </si>
  <si>
    <t>PEMBELIAN GAS BRIGHT UNTUK DAPUR KTR</t>
  </si>
  <si>
    <t>PEMBAYARAN ISI ULANG AIR GALON 4 BH = 24.000 DAN GAS 2 BH = 74.000</t>
  </si>
  <si>
    <t>BAYAR NOTA MAKANAN KERING TGL 26 MEI 2026</t>
  </si>
  <si>
    <t>BAYAR NOTA MAKANAN KERING TGL 6 JUNI 2026</t>
  </si>
  <si>
    <t>PEMBELIAN GAS 3 KG SEBANYAK 2 BH</t>
  </si>
  <si>
    <t>PEMBAYARAN ISI ULANG AIR GALON  6 BH</t>
  </si>
  <si>
    <t>PEMBELIAN GAS 2 KG SEBANYAK 2 BH UNTUK MESS MANDOR DAN KTR</t>
  </si>
  <si>
    <t>PEMBELIAN GAS 2 KG SEBANYAK 1UNTUK DAPUR KTR 37.000, AIR GALON 4 BH 24.000</t>
  </si>
  <si>
    <t>PEMBELIAN OBAT-OBATAN UNTUK STOCK DI KANTOR KEBUN</t>
  </si>
  <si>
    <t>CLAIM BIAYA FORKLIF MUAT PUPUK KE HINO TGL 24 JUNI 2026</t>
  </si>
  <si>
    <t>AHMAD</t>
  </si>
  <si>
    <t>BIAYA BEROBAT AN TARMIAT KARYAWAN PANEN DIV 1</t>
  </si>
  <si>
    <t>TARMIAT</t>
  </si>
  <si>
    <t>UANG JANGKOS ASL 50.000 B 9908 PDD ANTAR BUAH BLOK O</t>
  </si>
  <si>
    <t>ISI PERTALITE MOTOR KANTOR PALAPA B 3393 SOP</t>
  </si>
  <si>
    <t>GANTI KAMPAS REM B 3393 SOP MOTOR KANTOR PALAPA</t>
  </si>
  <si>
    <t>CLAIM BBM KB 3691 RQ TGL 27 MEI, 8,9,13,14,15 JUNI 26, GANTI OLI, SPION KB 3691 RQ</t>
  </si>
  <si>
    <t xml:space="preserve">UANG MAKAN AN PARNI KE PONTIANAK AMBIL SPARE PART B 9908 PDD </t>
  </si>
  <si>
    <t xml:space="preserve">PEMBELIAN BENSIN 5 LITER UNTUK MEGA PRO </t>
  </si>
  <si>
    <t>PEMBELIAN ATK LEM STICK DAN STCIKY NOTE UNTUK KANTOR KEBUN</t>
  </si>
  <si>
    <t>ERVINA</t>
  </si>
  <si>
    <t>BIAYA MAKAN SIANG PAK BENNY DI PALAPA</t>
  </si>
  <si>
    <t>PEMBELIAN TERPAL UNTUK MOBIL HILUX KB 8572 SL</t>
  </si>
  <si>
    <t>PEMBELIAN VAN BELT UNTUK HITACHI 48U</t>
  </si>
  <si>
    <t>PEMBELIAN PERTALITE 10 LITER UNTUK CUCI MESIN DI WORKSHOP</t>
  </si>
  <si>
    <t>PEMBELIAN AKI SPRAYER UNTUK ANGGOTA PERAWATAN DIV 1</t>
  </si>
  <si>
    <t>BIAYA TAXI BAWA BARANG DARI PONTIANAK-KEBUN</t>
  </si>
  <si>
    <t>BAYAR NOTA SAYUR BASAH DAN LAUK BASAH TGL 5 MEI 2026</t>
  </si>
  <si>
    <t xml:space="preserve">   6200.12.36</t>
  </si>
  <si>
    <t>PEMBELIAN WEB CAM UNTUK LAPTOP KANTOR PEMBUATAN NPWP KARYAWAN</t>
  </si>
  <si>
    <t xml:space="preserve">   5102.02.02</t>
  </si>
  <si>
    <t xml:space="preserve">  1109.02.03</t>
  </si>
  <si>
    <t xml:space="preserve">  6200.12.01</t>
  </si>
  <si>
    <t>6400.01.01</t>
  </si>
  <si>
    <t xml:space="preserve">  1106.10.01</t>
  </si>
  <si>
    <t xml:space="preserve">CLAIM PERTALITE MOTOR KB 3691 RQ </t>
  </si>
  <si>
    <t>1106.13.01</t>
  </si>
  <si>
    <t>UANG GRADING PT ASL 25.000 B 9645 UVZ RIT 1</t>
  </si>
  <si>
    <t>UANG GRADING PT ASL 25.000 B 9645 UVZ RIT 2 TGL 13 MEI 2026</t>
  </si>
  <si>
    <t>6100.01.01</t>
  </si>
  <si>
    <t>6200.11.02</t>
  </si>
  <si>
    <t>6200.11.04</t>
  </si>
  <si>
    <t>6200.11.01</t>
  </si>
  <si>
    <t>6200.10.01</t>
  </si>
  <si>
    <t>6200.17.02</t>
  </si>
  <si>
    <t>6200.12.40</t>
  </si>
  <si>
    <t>6200.12.01</t>
  </si>
  <si>
    <t>6200.12.14</t>
  </si>
  <si>
    <t>PEMBELIAN DURIAN UNTUK PAK BENNY</t>
  </si>
  <si>
    <t>6200,12,05</t>
  </si>
  <si>
    <t>7100,99,01</t>
  </si>
  <si>
    <t xml:space="preserve">   6200.12.05</t>
  </si>
  <si>
    <t>1109.07.09</t>
  </si>
  <si>
    <t>1109.07.06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</si>
</sst>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(&quot;Rp&quot;* #,##0_);_(&quot;Rp&quot;* \(#,##0\);_(&quot;Rp&quot;* &quot;-&quot;_);_(@_)"/>
    <numFmt numFmtId="167" formatCode="_-&quot;Rp&quot;* #,##0_-;\-&quot;Rp&quot;* #,##0_-;_-&quot;Rp&quot;* &quot;-&quot;??_-;_-@_-"/>
    <numFmt numFmtId="168" formatCode="_(* #,##0_);_(* \(#,##0\);_(* &quot;-&quot;??_);_(@_)"/>
    <numFmt numFmtId="169" formatCode="[$-409]d\-mmm\-yyyy;@"/>
  </numFmts>
  <fonts count="25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6"/>
      </left>
      <right/>
      <top style="thin">
        <color theme="6"/>
      </top>
      <bottom/>
      <diagonal/>
    </border>
  </borders>
  <cellStyleXfs count="9">
    <xf numFmtId="0" fontId="0" fillId="0" borderId="0"/>
    <xf numFmtId="167" fontId="5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4" fillId="0" borderId="0"/>
    <xf numFmtId="164" fontId="6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10" fillId="0" borderId="0" xfId="0" applyFont="1"/>
    <xf numFmtId="0" fontId="13" fillId="0" borderId="0" xfId="0" applyFont="1"/>
    <xf numFmtId="168" fontId="13" fillId="0" borderId="0" xfId="0" applyNumberFormat="1" applyFont="1"/>
    <xf numFmtId="168" fontId="13" fillId="0" borderId="0" xfId="0" applyNumberFormat="1" applyFont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3" fillId="0" borderId="4" xfId="0" applyFont="1" applyBorder="1"/>
    <xf numFmtId="0" fontId="10" fillId="0" borderId="4" xfId="0" applyFont="1" applyBorder="1"/>
    <xf numFmtId="168" fontId="10" fillId="0" borderId="3" xfId="0" applyNumberFormat="1" applyFont="1" applyBorder="1" applyAlignment="1">
      <alignment horizontal="center" vertical="center"/>
    </xf>
    <xf numFmtId="0" fontId="15" fillId="0" borderId="0" xfId="0" applyFont="1"/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0" xfId="0" applyFont="1"/>
    <xf numFmtId="168" fontId="10" fillId="0" borderId="0" xfId="0" applyNumberFormat="1" applyFont="1"/>
    <xf numFmtId="0" fontId="14" fillId="0" borderId="3" xfId="0" applyFont="1" applyBorder="1" applyAlignment="1">
      <alignment horizontal="center" vertical="center" wrapText="1"/>
    </xf>
    <xf numFmtId="168" fontId="11" fillId="0" borderId="0" xfId="6" applyNumberFormat="1" applyFont="1" applyFill="1" applyAlignment="1">
      <alignment horizontal="right" vertical="center"/>
    </xf>
    <xf numFmtId="168" fontId="13" fillId="0" borderId="0" xfId="6" applyNumberFormat="1" applyFont="1" applyFill="1" applyAlignment="1"/>
    <xf numFmtId="168" fontId="14" fillId="2" borderId="4" xfId="6" applyNumberFormat="1" applyFont="1" applyFill="1" applyBorder="1" applyAlignment="1">
      <alignment horizontal="center" vertical="center" wrapText="1"/>
    </xf>
    <xf numFmtId="168" fontId="14" fillId="0" borderId="4" xfId="6" applyNumberFormat="1" applyFont="1" applyFill="1" applyBorder="1" applyAlignment="1">
      <alignment horizontal="center" vertical="center" wrapText="1"/>
    </xf>
    <xf numFmtId="168" fontId="3" fillId="0" borderId="4" xfId="6" applyNumberFormat="1" applyFont="1" applyFill="1" applyBorder="1" applyAlignment="1"/>
    <xf numFmtId="168" fontId="10" fillId="0" borderId="0" xfId="6" applyNumberFormat="1" applyFont="1" applyFill="1" applyAlignment="1"/>
    <xf numFmtId="168" fontId="13" fillId="0" borderId="0" xfId="6" applyNumberFormat="1" applyFont="1" applyFill="1" applyAlignment="1">
      <alignment horizontal="left"/>
    </xf>
    <xf numFmtId="168" fontId="13" fillId="0" borderId="0" xfId="6" applyNumberFormat="1" applyFont="1" applyFill="1" applyAlignment="1">
      <alignment horizontal="center"/>
    </xf>
    <xf numFmtId="166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/>
    <xf numFmtId="164" fontId="2" fillId="0" borderId="5" xfId="4" applyFont="1" applyFill="1" applyBorder="1" applyAlignment="1"/>
    <xf numFmtId="168" fontId="2" fillId="0" borderId="0" xfId="0" applyNumberFormat="1" applyFont="1"/>
    <xf numFmtId="0" fontId="2" fillId="0" borderId="11" xfId="3" applyFont="1" applyBorder="1" applyAlignment="1">
      <alignment horizontal="center" vertical="center"/>
    </xf>
    <xf numFmtId="168" fontId="12" fillId="0" borderId="0" xfId="0" applyNumberFormat="1" applyFont="1" applyAlignment="1">
      <alignment horizontal="right" vertical="center"/>
    </xf>
    <xf numFmtId="168" fontId="14" fillId="2" borderId="4" xfId="0" applyNumberFormat="1" applyFont="1" applyFill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168" fontId="10" fillId="0" borderId="4" xfId="0" applyNumberFormat="1" applyFont="1" applyBorder="1" applyAlignment="1">
      <alignment horizontal="center" vertical="center" wrapText="1"/>
    </xf>
    <xf numFmtId="0" fontId="14" fillId="0" borderId="0" xfId="0" applyFont="1"/>
    <xf numFmtId="168" fontId="14" fillId="0" borderId="0" xfId="6" applyNumberFormat="1" applyFont="1" applyFill="1" applyAlignment="1"/>
    <xf numFmtId="168" fontId="14" fillId="0" borderId="0" xfId="0" applyNumberFormat="1" applyFont="1"/>
    <xf numFmtId="0" fontId="14" fillId="0" borderId="0" xfId="0" applyFont="1" applyAlignment="1">
      <alignment horizontal="center"/>
    </xf>
    <xf numFmtId="0" fontId="17" fillId="0" borderId="4" xfId="0" applyFont="1" applyBorder="1"/>
    <xf numFmtId="168" fontId="17" fillId="0" borderId="4" xfId="6" applyNumberFormat="1" applyFont="1" applyFill="1" applyBorder="1" applyAlignment="1"/>
    <xf numFmtId="168" fontId="14" fillId="0" borderId="0" xfId="6" applyNumberFormat="1" applyFont="1"/>
    <xf numFmtId="0" fontId="0" fillId="0" borderId="4" xfId="0" applyBorder="1" applyAlignment="1">
      <alignment horizontal="center" vertical="center"/>
    </xf>
    <xf numFmtId="169" fontId="3" fillId="0" borderId="4" xfId="0" quotePrefix="1" applyNumberFormat="1" applyFont="1" applyBorder="1" applyAlignment="1">
      <alignment horizontal="center" wrapText="1"/>
    </xf>
    <xf numFmtId="169" fontId="17" fillId="0" borderId="4" xfId="0" quotePrefix="1" applyNumberFormat="1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168" fontId="14" fillId="0" borderId="4" xfId="6" applyNumberFormat="1" applyFont="1" applyBorder="1"/>
    <xf numFmtId="0" fontId="10" fillId="0" borderId="0" xfId="0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8" fontId="10" fillId="0" borderId="0" xfId="6" applyNumberFormat="1" applyFont="1"/>
    <xf numFmtId="0" fontId="19" fillId="0" borderId="0" xfId="0" applyFont="1" applyAlignment="1">
      <alignment horizontal="left"/>
    </xf>
    <xf numFmtId="0" fontId="19" fillId="0" borderId="7" xfId="3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wrapText="1"/>
    </xf>
    <xf numFmtId="168" fontId="19" fillId="0" borderId="0" xfId="0" applyNumberFormat="1" applyFont="1" applyAlignment="1">
      <alignment horizontal="left"/>
    </xf>
    <xf numFmtId="169" fontId="20" fillId="0" borderId="4" xfId="0" quotePrefix="1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19" fillId="0" borderId="3" xfId="3" applyFont="1" applyBorder="1" applyAlignment="1">
      <alignment horizontal="center" wrapText="1"/>
    </xf>
    <xf numFmtId="0" fontId="22" fillId="0" borderId="13" xfId="3" applyFont="1" applyBorder="1" applyAlignment="1">
      <alignment horizontal="center" vertical="center" wrapText="1"/>
    </xf>
    <xf numFmtId="164" fontId="22" fillId="0" borderId="6" xfId="4" applyFont="1" applyFill="1" applyBorder="1" applyAlignment="1">
      <alignment horizontal="left" vertical="center" wrapText="1"/>
    </xf>
    <xf numFmtId="168" fontId="22" fillId="0" borderId="4" xfId="6" applyNumberFormat="1" applyFont="1" applyFill="1" applyBorder="1" applyAlignment="1">
      <alignment horizontal="left" vertical="center" wrapText="1"/>
    </xf>
    <xf numFmtId="168" fontId="19" fillId="0" borderId="6" xfId="0" applyNumberFormat="1" applyFont="1" applyBorder="1" applyAlignment="1">
      <alignment horizontal="left"/>
    </xf>
    <xf numFmtId="169" fontId="23" fillId="0" borderId="4" xfId="0" quotePrefix="1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2" fillId="0" borderId="3" xfId="3" applyFont="1" applyBorder="1" applyAlignment="1">
      <alignment horizontal="left" wrapText="1"/>
    </xf>
    <xf numFmtId="0" fontId="22" fillId="0" borderId="4" xfId="3" applyFont="1" applyBorder="1" applyAlignment="1">
      <alignment horizontal="center" vertical="center"/>
    </xf>
    <xf numFmtId="164" fontId="22" fillId="0" borderId="5" xfId="4" applyFont="1" applyFill="1" applyBorder="1" applyAlignment="1">
      <alignment horizontal="left"/>
    </xf>
    <xf numFmtId="168" fontId="22" fillId="0" borderId="5" xfId="6" applyNumberFormat="1" applyFont="1" applyFill="1" applyBorder="1" applyAlignment="1">
      <alignment horizontal="left"/>
    </xf>
    <xf numFmtId="168" fontId="22" fillId="0" borderId="6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8" fontId="22" fillId="0" borderId="0" xfId="0" applyNumberFormat="1" applyFont="1" applyAlignment="1">
      <alignment horizontal="left"/>
    </xf>
    <xf numFmtId="0" fontId="22" fillId="0" borderId="4" xfId="3" quotePrefix="1" applyFont="1" applyBorder="1" applyAlignment="1">
      <alignment horizontal="center" vertical="center"/>
    </xf>
    <xf numFmtId="0" fontId="22" fillId="0" borderId="3" xfId="0" applyFont="1" applyBorder="1" applyAlignment="1">
      <alignment horizontal="left"/>
    </xf>
    <xf numFmtId="0" fontId="22" fillId="0" borderId="14" xfId="3" applyFont="1" applyBorder="1" applyAlignment="1">
      <alignment horizontal="left" wrapText="1"/>
    </xf>
    <xf numFmtId="164" fontId="22" fillId="0" borderId="12" xfId="4" applyFont="1" applyFill="1" applyBorder="1" applyAlignment="1">
      <alignment horizontal="left"/>
    </xf>
    <xf numFmtId="164" fontId="19" fillId="0" borderId="4" xfId="4" applyFont="1" applyFill="1" applyBorder="1" applyAlignment="1">
      <alignment horizontal="left"/>
    </xf>
    <xf numFmtId="164" fontId="22" fillId="0" borderId="4" xfId="4" applyFont="1" applyFill="1" applyBorder="1" applyAlignment="1">
      <alignment horizontal="left"/>
    </xf>
    <xf numFmtId="0" fontId="19" fillId="0" borderId="4" xfId="3" applyFont="1" applyBorder="1" applyAlignment="1">
      <alignment horizontal="center" vertical="center"/>
    </xf>
    <xf numFmtId="164" fontId="19" fillId="0" borderId="12" xfId="4" applyFont="1" applyFill="1" applyBorder="1" applyAlignment="1">
      <alignment horizontal="left"/>
    </xf>
    <xf numFmtId="168" fontId="19" fillId="0" borderId="5" xfId="6" applyNumberFormat="1" applyFont="1" applyFill="1" applyBorder="1" applyAlignment="1">
      <alignment horizontal="left"/>
    </xf>
    <xf numFmtId="0" fontId="22" fillId="0" borderId="15" xfId="3" applyFont="1" applyBorder="1" applyAlignment="1">
      <alignment horizontal="left" wrapText="1"/>
    </xf>
    <xf numFmtId="164" fontId="22" fillId="0" borderId="9" xfId="4" applyFont="1" applyFill="1" applyBorder="1" applyAlignment="1">
      <alignment horizontal="left"/>
    </xf>
    <xf numFmtId="164" fontId="19" fillId="0" borderId="5" xfId="4" applyFont="1" applyFill="1" applyBorder="1" applyAlignment="1">
      <alignment horizontal="left"/>
    </xf>
    <xf numFmtId="168" fontId="22" fillId="0" borderId="12" xfId="6" applyNumberFormat="1" applyFont="1" applyFill="1" applyBorder="1" applyAlignment="1">
      <alignment horizontal="left"/>
    </xf>
    <xf numFmtId="0" fontId="22" fillId="0" borderId="2" xfId="3" applyFont="1" applyBorder="1" applyAlignment="1">
      <alignment horizontal="center" vertical="center"/>
    </xf>
    <xf numFmtId="164" fontId="22" fillId="0" borderId="0" xfId="4" applyFont="1" applyFill="1" applyAlignment="1">
      <alignment horizontal="left"/>
    </xf>
    <xf numFmtId="168" fontId="22" fillId="0" borderId="0" xfId="6" applyNumberFormat="1" applyFont="1" applyFill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168" fontId="22" fillId="0" borderId="0" xfId="3" applyNumberFormat="1" applyFont="1" applyAlignment="1">
      <alignment horizontal="center" vertical="center"/>
    </xf>
    <xf numFmtId="0" fontId="19" fillId="0" borderId="3" xfId="0" applyFont="1" applyBorder="1" applyAlignment="1">
      <alignment horizontal="left"/>
    </xf>
    <xf numFmtId="168" fontId="14" fillId="0" borderId="3" xfId="0" applyNumberFormat="1" applyFont="1" applyBorder="1" applyAlignment="1">
      <alignment horizontal="center" vertical="center"/>
    </xf>
    <xf numFmtId="168" fontId="10" fillId="0" borderId="3" xfId="6" applyNumberFormat="1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168" fontId="22" fillId="0" borderId="0" xfId="3" applyNumberFormat="1" applyFont="1" applyAlignment="1">
      <alignment horizontal="center"/>
    </xf>
    <xf numFmtId="168" fontId="22" fillId="0" borderId="0" xfId="3" applyNumberFormat="1" applyFont="1" applyAlignment="1">
      <alignment horizontal="left"/>
    </xf>
    <xf numFmtId="0" fontId="22" fillId="0" borderId="0" xfId="3" applyFont="1" applyAlignment="1">
      <alignment horizontal="left"/>
    </xf>
    <xf numFmtId="0" fontId="22" fillId="4" borderId="0" xfId="0" applyFont="1" applyFill="1" applyAlignment="1">
      <alignment horizontal="left"/>
    </xf>
    <xf numFmtId="168" fontId="3" fillId="0" borderId="0" xfId="6" applyNumberFormat="1" applyFont="1" applyFill="1" applyBorder="1" applyAlignment="1"/>
    <xf numFmtId="0" fontId="2" fillId="0" borderId="16" xfId="3" applyFont="1" applyBorder="1" applyAlignment="1">
      <alignment horizontal="center" vertical="center"/>
    </xf>
    <xf numFmtId="0" fontId="19" fillId="0" borderId="15" xfId="3" applyFont="1" applyBorder="1" applyAlignment="1">
      <alignment horizontal="left" wrapText="1"/>
    </xf>
    <xf numFmtId="0" fontId="22" fillId="0" borderId="15" xfId="0" applyFont="1" applyBorder="1" applyAlignment="1">
      <alignment horizontal="left"/>
    </xf>
    <xf numFmtId="168" fontId="14" fillId="0" borderId="4" xfId="6" applyNumberFormat="1" applyFont="1" applyFill="1" applyBorder="1" applyAlignment="1"/>
    <xf numFmtId="164" fontId="22" fillId="0" borderId="0" xfId="4" applyFont="1" applyFill="1" applyBorder="1" applyAlignment="1">
      <alignment horizontal="left"/>
    </xf>
    <xf numFmtId="0" fontId="19" fillId="0" borderId="3" xfId="3" applyFont="1" applyBorder="1" applyAlignment="1">
      <alignment horizontal="left" wrapText="1"/>
    </xf>
    <xf numFmtId="168" fontId="14" fillId="0" borderId="3" xfId="6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2" fillId="0" borderId="17" xfId="0" applyFont="1" applyBorder="1" applyAlignment="1">
      <alignment horizontal="left"/>
    </xf>
    <xf numFmtId="0" fontId="22" fillId="0" borderId="7" xfId="3" applyFont="1" applyBorder="1" applyAlignment="1">
      <alignment horizontal="center" vertical="center"/>
    </xf>
    <xf numFmtId="164" fontId="22" fillId="0" borderId="18" xfId="4" applyFont="1" applyFill="1" applyBorder="1" applyAlignment="1">
      <alignment horizontal="left"/>
    </xf>
    <xf numFmtId="168" fontId="22" fillId="0" borderId="19" xfId="6" applyNumberFormat="1" applyFont="1" applyFill="1" applyBorder="1" applyAlignment="1">
      <alignment horizontal="left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168" fontId="22" fillId="0" borderId="4" xfId="6" applyNumberFormat="1" applyFont="1" applyFill="1" applyBorder="1" applyAlignment="1">
      <alignment horizontal="left"/>
    </xf>
    <xf numFmtId="0" fontId="24" fillId="0" borderId="0" xfId="0" applyFont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top"/>
    </xf>
    <xf numFmtId="0" fontId="3" fillId="0" borderId="20" xfId="6" applyNumberFormat="1" applyFont="1" applyBorder="1" applyAlignment="1">
      <alignment horizontal="left"/>
    </xf>
    <xf numFmtId="0" fontId="7" fillId="3" borderId="0" xfId="3" applyFont="1" applyFill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9" fillId="0" borderId="7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164" fontId="19" fillId="0" borderId="7" xfId="4" applyFont="1" applyFill="1" applyBorder="1" applyAlignment="1">
      <alignment horizontal="center" vertical="center" wrapText="1"/>
    </xf>
    <xf numFmtId="164" fontId="19" fillId="0" borderId="6" xfId="4" applyFont="1" applyFill="1" applyBorder="1" applyAlignment="1">
      <alignment horizontal="center" vertical="center" wrapText="1"/>
    </xf>
    <xf numFmtId="168" fontId="19" fillId="0" borderId="7" xfId="6" applyNumberFormat="1" applyFont="1" applyFill="1" applyBorder="1" applyAlignment="1">
      <alignment horizontal="center" vertical="center" wrapText="1"/>
    </xf>
    <xf numFmtId="168" fontId="19" fillId="0" borderId="6" xfId="6" applyNumberFormat="1" applyFont="1" applyFill="1" applyBorder="1" applyAlignment="1">
      <alignment horizontal="center" vertical="center" wrapText="1"/>
    </xf>
    <xf numFmtId="0" fontId="19" fillId="0" borderId="8" xfId="3" applyFont="1" applyBorder="1" applyAlignment="1">
      <alignment horizontal="center" vertical="center" wrapText="1"/>
    </xf>
    <xf numFmtId="0" fontId="19" fillId="0" borderId="10" xfId="3" applyFont="1" applyBorder="1" applyAlignment="1">
      <alignment horizontal="center" vertical="center" wrapText="1"/>
    </xf>
    <xf numFmtId="166" fontId="19" fillId="0" borderId="7" xfId="3" applyNumberFormat="1" applyFont="1" applyBorder="1" applyAlignment="1">
      <alignment horizontal="center" vertical="center" wrapText="1"/>
    </xf>
    <xf numFmtId="166" fontId="19" fillId="0" borderId="6" xfId="3" applyNumberFormat="1" applyFont="1" applyBorder="1" applyAlignment="1">
      <alignment horizontal="center" vertical="center" wrapText="1"/>
    </xf>
  </cellXfs>
  <cellStyles count="9">
    <cellStyle name="Comma" xfId="6" builtinId="3"/>
    <cellStyle name="Comma [0]" xfId="4" builtinId="6"/>
    <cellStyle name="Comma [0] 2" xfId="5" xr:uid="{00000000-0005-0000-0000-000002000000}"/>
    <cellStyle name="Comma [0] 3" xfId="7" xr:uid="{CAD4BB92-8E2B-40A4-9E52-DA27A80B1414}"/>
    <cellStyle name="Comma 2" xfId="8" xr:uid="{A7027A2A-E6D0-4922-9F9D-18295F3CAC54}"/>
    <cellStyle name="Currency [0] 2" xfId="1" xr:uid="{00000000-0005-0000-0000-000003000000}"/>
    <cellStyle name="Currency [0] 3" xfId="2" xr:uid="{00000000-0005-0000-0000-000004000000}"/>
    <cellStyle name="Normal" xfId="0" builtinId="0"/>
    <cellStyle name="Normal 2" xfId="3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ES76"/>
  <sheetViews>
    <sheetView zoomScale="124" zoomScaleNormal="124" workbookViewId="0">
      <selection activeCell="B50" sqref="B50"/>
    </sheetView>
  </sheetViews>
  <sheetFormatPr defaultColWidth="14.42578125" defaultRowHeight="15" customHeight="1" x14ac:dyDescent="0.25"/>
  <cols>
    <col min="1" max="1" width="1.7109375" style="1" customWidth="1"/>
    <col min="2" max="2" width="12.28515625" style="2" bestFit="1" customWidth="1"/>
    <col min="3" max="3" width="12.5703125" style="49" customWidth="1"/>
    <col min="4" max="4" width="79.7109375" style="2" customWidth="1"/>
    <col min="5" max="5" width="10.7109375" style="14" customWidth="1"/>
    <col min="6" max="7" width="10.7109375" style="23" customWidth="1"/>
    <col min="8" max="8" width="12.7109375" style="16" customWidth="1"/>
    <col min="9" max="9" width="25.140625" style="2" customWidth="1"/>
    <col min="10" max="10" width="14.42578125" style="23"/>
    <col min="11" max="16373" width="14.42578125" style="2"/>
    <col min="16374" max="16384" width="14.42578125" style="1"/>
  </cols>
  <sheetData>
    <row r="1" spans="2:10" s="2" customFormat="1" ht="15" customHeight="1" x14ac:dyDescent="0.25">
      <c r="B1" s="129" t="s">
        <v>12</v>
      </c>
      <c r="C1" s="129"/>
      <c r="D1" s="129"/>
      <c r="E1" s="129"/>
      <c r="F1" s="129"/>
      <c r="G1" s="129"/>
      <c r="H1" s="129"/>
      <c r="J1" s="23"/>
    </row>
    <row r="2" spans="2:10" s="2" customFormat="1" ht="15" customHeight="1" x14ac:dyDescent="0.25">
      <c r="B2" s="129"/>
      <c r="C2" s="129"/>
      <c r="D2" s="129"/>
      <c r="E2" s="129"/>
      <c r="F2" s="129"/>
      <c r="G2" s="129"/>
      <c r="H2" s="129"/>
      <c r="J2" s="23"/>
    </row>
    <row r="3" spans="2:10" s="2" customFormat="1" ht="15" customHeight="1" x14ac:dyDescent="0.25">
      <c r="B3" s="129" t="s">
        <v>13</v>
      </c>
      <c r="C3" s="129"/>
      <c r="D3" s="129"/>
      <c r="E3" s="129"/>
      <c r="F3" s="129"/>
      <c r="G3" s="129"/>
      <c r="H3" s="129"/>
      <c r="J3" s="23"/>
    </row>
    <row r="4" spans="2:10" s="2" customFormat="1" ht="18.75" x14ac:dyDescent="0.25">
      <c r="B4" s="55" t="s">
        <v>48</v>
      </c>
      <c r="C4" s="56"/>
      <c r="D4" s="27"/>
      <c r="E4" s="27"/>
      <c r="F4" s="18"/>
      <c r="G4" s="18"/>
      <c r="H4" s="32" t="s">
        <v>1</v>
      </c>
      <c r="J4" s="23"/>
    </row>
    <row r="5" spans="2:10" s="2" customFormat="1" x14ac:dyDescent="0.25">
      <c r="B5" s="3"/>
      <c r="C5" s="50"/>
      <c r="D5" s="4"/>
      <c r="E5" s="5"/>
      <c r="F5" s="19"/>
      <c r="G5" s="19"/>
      <c r="H5" s="4"/>
      <c r="J5" s="23"/>
    </row>
    <row r="6" spans="2:10" s="2" customFormat="1" ht="50.1" customHeight="1" x14ac:dyDescent="0.25">
      <c r="B6" s="46" t="s">
        <v>2</v>
      </c>
      <c r="C6" s="6" t="s">
        <v>34</v>
      </c>
      <c r="D6" s="6" t="s">
        <v>3</v>
      </c>
      <c r="E6" s="6" t="s">
        <v>14</v>
      </c>
      <c r="F6" s="20" t="s">
        <v>4</v>
      </c>
      <c r="G6" s="20" t="s">
        <v>5</v>
      </c>
      <c r="H6" s="33" t="s">
        <v>6</v>
      </c>
      <c r="J6" s="23"/>
    </row>
    <row r="7" spans="2:10" s="2" customFormat="1" ht="17.100000000000001" customHeight="1" x14ac:dyDescent="0.25">
      <c r="B7" s="45">
        <v>46174</v>
      </c>
      <c r="C7" s="57"/>
      <c r="D7" s="53" t="s">
        <v>11</v>
      </c>
      <c r="E7" s="17"/>
      <c r="F7" s="21"/>
      <c r="G7" s="21"/>
      <c r="H7" s="34">
        <v>-253800</v>
      </c>
      <c r="J7" s="23"/>
    </row>
    <row r="8" spans="2:10" s="2" customFormat="1" ht="15.75" customHeight="1" x14ac:dyDescent="0.25">
      <c r="B8" s="44">
        <v>46175</v>
      </c>
      <c r="C8" s="47" t="s">
        <v>43</v>
      </c>
      <c r="D8" s="53" t="s">
        <v>26</v>
      </c>
      <c r="E8" s="101" t="s">
        <v>27</v>
      </c>
      <c r="F8" s="41">
        <v>5000000</v>
      </c>
      <c r="G8" s="41"/>
      <c r="H8" s="34">
        <f>H7+F8-G8</f>
        <v>4746200</v>
      </c>
      <c r="J8" s="23"/>
    </row>
    <row r="9" spans="2:10" s="2" customFormat="1" ht="15.75" customHeight="1" x14ac:dyDescent="0.25">
      <c r="B9" s="44">
        <v>46175</v>
      </c>
      <c r="C9" s="43" t="s">
        <v>272</v>
      </c>
      <c r="D9" s="54" t="s">
        <v>50</v>
      </c>
      <c r="E9" s="7" t="s">
        <v>20</v>
      </c>
      <c r="F9" s="22"/>
      <c r="G9" s="22">
        <v>268000</v>
      </c>
      <c r="H9" s="35">
        <f>H8+F9-G9</f>
        <v>4478200</v>
      </c>
      <c r="J9" s="23"/>
    </row>
    <row r="10" spans="2:10" s="2" customFormat="1" ht="15.75" customHeight="1" x14ac:dyDescent="0.25">
      <c r="B10" s="44">
        <v>46175</v>
      </c>
      <c r="C10" s="43" t="s">
        <v>272</v>
      </c>
      <c r="D10" s="8" t="s">
        <v>59</v>
      </c>
      <c r="E10" s="7" t="s">
        <v>20</v>
      </c>
      <c r="F10" s="42"/>
      <c r="G10" s="22">
        <v>106000</v>
      </c>
      <c r="H10" s="35">
        <f>H9+F10-G10</f>
        <v>4372200</v>
      </c>
      <c r="J10" s="23"/>
    </row>
    <row r="11" spans="2:10" s="2" customFormat="1" ht="15.75" customHeight="1" x14ac:dyDescent="0.25">
      <c r="B11" s="44">
        <v>46175</v>
      </c>
      <c r="C11" s="43" t="s">
        <v>272</v>
      </c>
      <c r="D11" s="8" t="s">
        <v>54</v>
      </c>
      <c r="E11" s="7" t="s">
        <v>28</v>
      </c>
      <c r="F11" s="9"/>
      <c r="G11" s="22">
        <v>20000</v>
      </c>
      <c r="H11" s="35">
        <f t="shared" ref="H11:H51" si="0">H10+F11-G11</f>
        <v>4352200</v>
      </c>
      <c r="J11" s="23"/>
    </row>
    <row r="12" spans="2:10" s="2" customFormat="1" ht="15.75" customHeight="1" x14ac:dyDescent="0.25">
      <c r="B12" s="44">
        <v>46175</v>
      </c>
      <c r="C12" s="43" t="s">
        <v>272</v>
      </c>
      <c r="D12" s="8" t="s">
        <v>58</v>
      </c>
      <c r="E12" s="7" t="s">
        <v>27</v>
      </c>
      <c r="F12" s="48"/>
      <c r="G12" s="22">
        <v>95000</v>
      </c>
      <c r="H12" s="35">
        <f t="shared" si="0"/>
        <v>4257200</v>
      </c>
      <c r="J12" s="23"/>
    </row>
    <row r="13" spans="2:10" s="2" customFormat="1" ht="15.75" customHeight="1" x14ac:dyDescent="0.25">
      <c r="B13" s="44">
        <v>46175</v>
      </c>
      <c r="C13" s="43" t="s">
        <v>272</v>
      </c>
      <c r="D13" s="8" t="s">
        <v>61</v>
      </c>
      <c r="E13" s="10" t="s">
        <v>62</v>
      </c>
      <c r="F13" s="31"/>
      <c r="G13" s="29">
        <v>681000</v>
      </c>
      <c r="H13" s="35">
        <f t="shared" si="0"/>
        <v>3576200</v>
      </c>
      <c r="I13" s="16"/>
      <c r="J13" s="23"/>
    </row>
    <row r="14" spans="2:10" s="2" customFormat="1" ht="15.75" customHeight="1" x14ac:dyDescent="0.25">
      <c r="B14" s="44">
        <v>46175</v>
      </c>
      <c r="C14" s="43" t="s">
        <v>272</v>
      </c>
      <c r="D14" s="8" t="s">
        <v>64</v>
      </c>
      <c r="E14" s="7" t="s">
        <v>62</v>
      </c>
      <c r="F14" s="22"/>
      <c r="G14" s="22">
        <v>1856000</v>
      </c>
      <c r="H14" s="35">
        <f t="shared" si="0"/>
        <v>1720200</v>
      </c>
      <c r="J14" s="23"/>
    </row>
    <row r="15" spans="2:10" s="2" customFormat="1" ht="15.75" customHeight="1" x14ac:dyDescent="0.25">
      <c r="B15" s="44">
        <v>46175</v>
      </c>
      <c r="C15" s="43" t="s">
        <v>272</v>
      </c>
      <c r="D15" s="8" t="s">
        <v>66</v>
      </c>
      <c r="E15" s="7" t="s">
        <v>62</v>
      </c>
      <c r="F15" s="22"/>
      <c r="G15" s="108">
        <v>1285000</v>
      </c>
      <c r="H15" s="35">
        <f t="shared" si="0"/>
        <v>435200</v>
      </c>
      <c r="J15" s="23"/>
    </row>
    <row r="16" spans="2:10" s="15" customFormat="1" ht="15" customHeight="1" x14ac:dyDescent="0.25">
      <c r="B16" s="44">
        <v>46175</v>
      </c>
      <c r="C16" s="43" t="s">
        <v>272</v>
      </c>
      <c r="D16" s="8" t="s">
        <v>65</v>
      </c>
      <c r="E16" s="7" t="s">
        <v>62</v>
      </c>
      <c r="F16" s="109"/>
      <c r="G16" s="29">
        <v>434000</v>
      </c>
      <c r="H16" s="35">
        <f t="shared" si="0"/>
        <v>1200</v>
      </c>
      <c r="J16" s="30"/>
    </row>
    <row r="17" spans="2:10" s="2" customFormat="1" ht="15.75" customHeight="1" x14ac:dyDescent="0.25">
      <c r="B17" s="45">
        <v>46179</v>
      </c>
      <c r="C17" s="47" t="s">
        <v>43</v>
      </c>
      <c r="D17" s="40" t="s">
        <v>26</v>
      </c>
      <c r="E17" s="101" t="s">
        <v>27</v>
      </c>
      <c r="F17" s="41">
        <v>6000000</v>
      </c>
      <c r="G17" s="112"/>
      <c r="H17" s="34">
        <f t="shared" si="0"/>
        <v>6001200</v>
      </c>
      <c r="J17" s="23"/>
    </row>
    <row r="18" spans="2:10" s="2" customFormat="1" ht="15.75" customHeight="1" x14ac:dyDescent="0.25">
      <c r="B18" s="44">
        <v>46179</v>
      </c>
      <c r="C18" s="43" t="s">
        <v>272</v>
      </c>
      <c r="D18" s="8" t="s">
        <v>92</v>
      </c>
      <c r="E18" s="7" t="s">
        <v>62</v>
      </c>
      <c r="F18" s="22"/>
      <c r="G18" s="22">
        <v>1184000</v>
      </c>
      <c r="H18" s="35">
        <f t="shared" si="0"/>
        <v>4817200</v>
      </c>
      <c r="J18" s="23"/>
    </row>
    <row r="19" spans="2:10" s="2" customFormat="1" ht="15.75" customHeight="1" x14ac:dyDescent="0.25">
      <c r="B19" s="44">
        <v>46179</v>
      </c>
      <c r="C19" s="43" t="s">
        <v>272</v>
      </c>
      <c r="D19" s="8" t="s">
        <v>93</v>
      </c>
      <c r="E19" s="7" t="s">
        <v>62</v>
      </c>
      <c r="F19" s="41"/>
      <c r="G19" s="22">
        <v>1710000</v>
      </c>
      <c r="H19" s="35">
        <f t="shared" si="0"/>
        <v>3107200</v>
      </c>
      <c r="J19" s="23"/>
    </row>
    <row r="20" spans="2:10" s="2" customFormat="1" ht="15.75" customHeight="1" x14ac:dyDescent="0.25">
      <c r="B20" s="44">
        <v>46179</v>
      </c>
      <c r="C20" s="43" t="s">
        <v>272</v>
      </c>
      <c r="D20" s="8" t="s">
        <v>94</v>
      </c>
      <c r="E20" s="7" t="s">
        <v>95</v>
      </c>
      <c r="F20" s="41"/>
      <c r="G20" s="22">
        <v>1010000</v>
      </c>
      <c r="H20" s="35">
        <f t="shared" si="0"/>
        <v>2097200</v>
      </c>
      <c r="J20" s="23"/>
    </row>
    <row r="21" spans="2:10" s="2" customFormat="1" ht="15.75" customHeight="1" x14ac:dyDescent="0.25">
      <c r="B21" s="44">
        <v>46179</v>
      </c>
      <c r="C21" s="43" t="s">
        <v>272</v>
      </c>
      <c r="D21" s="8" t="s">
        <v>96</v>
      </c>
      <c r="E21" s="7" t="s">
        <v>20</v>
      </c>
      <c r="F21" s="41"/>
      <c r="G21" s="22">
        <v>105000</v>
      </c>
      <c r="H21" s="35">
        <f t="shared" si="0"/>
        <v>1992200</v>
      </c>
      <c r="I21" s="16"/>
      <c r="J21" s="23"/>
    </row>
    <row r="22" spans="2:10" s="2" customFormat="1" ht="15.75" customHeight="1" x14ac:dyDescent="0.25">
      <c r="B22" s="44">
        <v>46179</v>
      </c>
      <c r="C22" s="43" t="s">
        <v>272</v>
      </c>
      <c r="D22" s="8" t="s">
        <v>97</v>
      </c>
      <c r="E22" s="102" t="s">
        <v>20</v>
      </c>
      <c r="F22" s="41"/>
      <c r="G22" s="22">
        <v>18000</v>
      </c>
      <c r="H22" s="35">
        <f t="shared" si="0"/>
        <v>1974200</v>
      </c>
      <c r="J22" s="23"/>
    </row>
    <row r="23" spans="2:10" s="2" customFormat="1" ht="15.75" customHeight="1" x14ac:dyDescent="0.25">
      <c r="B23" s="44">
        <v>46179</v>
      </c>
      <c r="C23" s="43" t="s">
        <v>272</v>
      </c>
      <c r="D23" s="8" t="s">
        <v>98</v>
      </c>
      <c r="E23" s="102" t="s">
        <v>20</v>
      </c>
      <c r="F23" s="22"/>
      <c r="G23" s="22">
        <v>24000</v>
      </c>
      <c r="H23" s="35">
        <f t="shared" si="0"/>
        <v>1950200</v>
      </c>
      <c r="I23" s="16"/>
      <c r="J23" s="23"/>
    </row>
    <row r="24" spans="2:10" s="2" customFormat="1" ht="15.75" customHeight="1" x14ac:dyDescent="0.25">
      <c r="B24" s="44">
        <v>46181</v>
      </c>
      <c r="C24" s="43" t="s">
        <v>272</v>
      </c>
      <c r="D24" s="8" t="s">
        <v>150</v>
      </c>
      <c r="E24" s="102" t="s">
        <v>20</v>
      </c>
      <c r="F24" s="22"/>
      <c r="G24" s="22">
        <v>70000</v>
      </c>
      <c r="H24" s="35">
        <f t="shared" si="0"/>
        <v>1880200</v>
      </c>
      <c r="I24" s="16"/>
      <c r="J24" s="23"/>
    </row>
    <row r="25" spans="2:10" s="2" customFormat="1" ht="15.75" customHeight="1" x14ac:dyDescent="0.25">
      <c r="B25" s="44">
        <v>46182</v>
      </c>
      <c r="C25" s="43" t="s">
        <v>272</v>
      </c>
      <c r="D25" s="8" t="s">
        <v>153</v>
      </c>
      <c r="E25" s="102" t="s">
        <v>152</v>
      </c>
      <c r="F25" s="22"/>
      <c r="G25" s="22">
        <v>121000</v>
      </c>
      <c r="H25" s="35">
        <f t="shared" si="0"/>
        <v>1759200</v>
      </c>
      <c r="I25" s="16"/>
      <c r="J25" s="23"/>
    </row>
    <row r="26" spans="2:10" s="2" customFormat="1" ht="15.75" customHeight="1" x14ac:dyDescent="0.25">
      <c r="B26" s="44">
        <v>46183</v>
      </c>
      <c r="C26" s="43" t="s">
        <v>272</v>
      </c>
      <c r="D26" s="8" t="s">
        <v>151</v>
      </c>
      <c r="E26" s="102" t="s">
        <v>20</v>
      </c>
      <c r="F26" s="22"/>
      <c r="G26" s="22">
        <v>24000</v>
      </c>
      <c r="H26" s="35">
        <f t="shared" si="0"/>
        <v>1735200</v>
      </c>
      <c r="I26" s="16"/>
      <c r="J26" s="23"/>
    </row>
    <row r="27" spans="2:10" s="2" customFormat="1" ht="15.75" customHeight="1" x14ac:dyDescent="0.25">
      <c r="B27" s="44">
        <v>46185</v>
      </c>
      <c r="C27" s="43" t="s">
        <v>272</v>
      </c>
      <c r="D27" s="8" t="s">
        <v>149</v>
      </c>
      <c r="E27" s="102" t="s">
        <v>20</v>
      </c>
      <c r="F27" s="22"/>
      <c r="G27" s="22">
        <v>36000</v>
      </c>
      <c r="H27" s="35">
        <f t="shared" si="0"/>
        <v>1699200</v>
      </c>
      <c r="I27" s="16"/>
      <c r="J27" s="23"/>
    </row>
    <row r="28" spans="2:10" s="2" customFormat="1" ht="15.75" customHeight="1" x14ac:dyDescent="0.25">
      <c r="B28" s="45">
        <v>46189</v>
      </c>
      <c r="C28" s="47" t="s">
        <v>43</v>
      </c>
      <c r="D28" s="40" t="s">
        <v>26</v>
      </c>
      <c r="E28" s="115" t="s">
        <v>27</v>
      </c>
      <c r="F28" s="41">
        <v>5000000</v>
      </c>
      <c r="G28" s="41"/>
      <c r="H28" s="34">
        <f t="shared" si="0"/>
        <v>6699200</v>
      </c>
      <c r="I28" s="16"/>
      <c r="J28" s="23"/>
    </row>
    <row r="29" spans="2:10" s="2" customFormat="1" ht="15.75" customHeight="1" x14ac:dyDescent="0.25">
      <c r="B29" s="44">
        <v>46190</v>
      </c>
      <c r="C29" s="43" t="s">
        <v>272</v>
      </c>
      <c r="D29" s="8" t="s">
        <v>218</v>
      </c>
      <c r="E29" s="102" t="s">
        <v>62</v>
      </c>
      <c r="F29" s="22"/>
      <c r="G29" s="22">
        <v>1133000</v>
      </c>
      <c r="H29" s="35">
        <f t="shared" si="0"/>
        <v>5566200</v>
      </c>
      <c r="I29" s="16"/>
      <c r="J29" s="23"/>
    </row>
    <row r="30" spans="2:10" s="2" customFormat="1" ht="15.75" customHeight="1" x14ac:dyDescent="0.25">
      <c r="B30" s="44">
        <v>46190</v>
      </c>
      <c r="C30" s="43" t="s">
        <v>272</v>
      </c>
      <c r="D30" s="8" t="s">
        <v>219</v>
      </c>
      <c r="E30" s="102" t="s">
        <v>62</v>
      </c>
      <c r="F30" s="22"/>
      <c r="G30" s="22">
        <v>1902000</v>
      </c>
      <c r="H30" s="35">
        <f t="shared" si="0"/>
        <v>3664200</v>
      </c>
      <c r="I30" s="16"/>
      <c r="J30" s="23"/>
    </row>
    <row r="31" spans="2:10" s="2" customFormat="1" ht="15.75" customHeight="1" x14ac:dyDescent="0.25">
      <c r="B31" s="44">
        <v>46190</v>
      </c>
      <c r="C31" s="43" t="s">
        <v>272</v>
      </c>
      <c r="D31" s="8" t="s">
        <v>220</v>
      </c>
      <c r="E31" s="7" t="s">
        <v>95</v>
      </c>
      <c r="F31" s="22"/>
      <c r="G31" s="22">
        <v>1645000</v>
      </c>
      <c r="H31" s="35">
        <f t="shared" si="0"/>
        <v>2019200</v>
      </c>
      <c r="I31" s="16"/>
      <c r="J31" s="23"/>
    </row>
    <row r="32" spans="2:10" s="2" customFormat="1" ht="15.75" customHeight="1" x14ac:dyDescent="0.25">
      <c r="B32" s="44">
        <v>46190</v>
      </c>
      <c r="C32" s="43" t="s">
        <v>272</v>
      </c>
      <c r="D32" s="8" t="s">
        <v>221</v>
      </c>
      <c r="E32" s="7" t="s">
        <v>95</v>
      </c>
      <c r="F32" s="22"/>
      <c r="G32" s="22">
        <v>842000</v>
      </c>
      <c r="H32" s="35">
        <f t="shared" si="0"/>
        <v>1177200</v>
      </c>
      <c r="I32" s="16"/>
      <c r="J32" s="23"/>
    </row>
    <row r="33" spans="2:10" s="2" customFormat="1" ht="15.75" customHeight="1" x14ac:dyDescent="0.25">
      <c r="B33" s="44">
        <v>46190</v>
      </c>
      <c r="C33" s="43" t="s">
        <v>272</v>
      </c>
      <c r="D33" s="8" t="s">
        <v>222</v>
      </c>
      <c r="E33" s="7" t="s">
        <v>20</v>
      </c>
      <c r="F33" s="22"/>
      <c r="G33" s="22">
        <v>36000</v>
      </c>
      <c r="H33" s="35">
        <f t="shared" si="0"/>
        <v>1141200</v>
      </c>
      <c r="I33" s="16"/>
      <c r="J33" s="23"/>
    </row>
    <row r="34" spans="2:10" s="2" customFormat="1" ht="15.75" customHeight="1" x14ac:dyDescent="0.25">
      <c r="B34" s="44">
        <v>46190</v>
      </c>
      <c r="C34" s="43" t="s">
        <v>272</v>
      </c>
      <c r="D34" s="8" t="s">
        <v>223</v>
      </c>
      <c r="E34" s="7" t="s">
        <v>20</v>
      </c>
      <c r="F34" s="41"/>
      <c r="G34" s="22">
        <v>111000</v>
      </c>
      <c r="H34" s="35">
        <f t="shared" si="0"/>
        <v>1030200</v>
      </c>
      <c r="I34" s="16"/>
      <c r="J34" s="23"/>
    </row>
    <row r="35" spans="2:10" s="2" customFormat="1" ht="15.75" customHeight="1" x14ac:dyDescent="0.25">
      <c r="B35" s="44">
        <v>46190</v>
      </c>
      <c r="C35" s="43" t="s">
        <v>272</v>
      </c>
      <c r="D35" s="8" t="s">
        <v>54</v>
      </c>
      <c r="E35" s="7" t="s">
        <v>28</v>
      </c>
      <c r="F35" s="41"/>
      <c r="G35" s="22">
        <v>20000</v>
      </c>
      <c r="H35" s="35">
        <f t="shared" si="0"/>
        <v>1010200</v>
      </c>
      <c r="I35" s="16"/>
      <c r="J35" s="23"/>
    </row>
    <row r="36" spans="2:10" s="2" customFormat="1" ht="15.75" customHeight="1" x14ac:dyDescent="0.25">
      <c r="B36" s="44">
        <v>46193</v>
      </c>
      <c r="C36" s="43" t="s">
        <v>272</v>
      </c>
      <c r="D36" s="8" t="s">
        <v>224</v>
      </c>
      <c r="E36" s="7" t="s">
        <v>20</v>
      </c>
      <c r="F36" s="22"/>
      <c r="G36" s="22">
        <v>37000</v>
      </c>
      <c r="H36" s="35">
        <f t="shared" si="0"/>
        <v>973200</v>
      </c>
      <c r="I36" s="16"/>
      <c r="J36" s="23"/>
    </row>
    <row r="37" spans="2:10" s="2" customFormat="1" ht="15.75" customHeight="1" x14ac:dyDescent="0.25">
      <c r="B37" s="44">
        <v>46193</v>
      </c>
      <c r="C37" s="43" t="s">
        <v>272</v>
      </c>
      <c r="D37" s="8" t="s">
        <v>225</v>
      </c>
      <c r="E37" s="7" t="s">
        <v>20</v>
      </c>
      <c r="F37" s="22"/>
      <c r="G37" s="22">
        <v>295000</v>
      </c>
      <c r="H37" s="35">
        <f t="shared" si="0"/>
        <v>678200</v>
      </c>
      <c r="I37" s="16"/>
      <c r="J37" s="23"/>
    </row>
    <row r="38" spans="2:10" s="2" customFormat="1" ht="15.75" customHeight="1" x14ac:dyDescent="0.25">
      <c r="B38" s="44">
        <v>46194</v>
      </c>
      <c r="C38" s="43" t="s">
        <v>272</v>
      </c>
      <c r="D38" s="8" t="s">
        <v>226</v>
      </c>
      <c r="E38" s="7" t="s">
        <v>20</v>
      </c>
      <c r="F38" s="22"/>
      <c r="G38" s="22">
        <v>49000</v>
      </c>
      <c r="H38" s="35">
        <f t="shared" si="0"/>
        <v>629200</v>
      </c>
      <c r="I38" s="16"/>
      <c r="J38" s="23"/>
    </row>
    <row r="39" spans="2:10" s="2" customFormat="1" ht="15.75" customHeight="1" x14ac:dyDescent="0.25">
      <c r="B39" s="44">
        <v>46196</v>
      </c>
      <c r="C39" s="43" t="s">
        <v>272</v>
      </c>
      <c r="D39" s="8" t="s">
        <v>239</v>
      </c>
      <c r="E39" s="7" t="s">
        <v>20</v>
      </c>
      <c r="F39" s="41"/>
      <c r="G39" s="22">
        <v>55000</v>
      </c>
      <c r="H39" s="35">
        <f t="shared" si="0"/>
        <v>574200</v>
      </c>
      <c r="I39" s="16"/>
      <c r="J39" s="23"/>
    </row>
    <row r="40" spans="2:10" s="2" customFormat="1" ht="15.75" customHeight="1" x14ac:dyDescent="0.25">
      <c r="B40" s="45">
        <v>46197</v>
      </c>
      <c r="C40" s="47" t="s">
        <v>43</v>
      </c>
      <c r="D40" s="40" t="s">
        <v>26</v>
      </c>
      <c r="E40" s="116" t="s">
        <v>27</v>
      </c>
      <c r="F40" s="41">
        <v>5000000</v>
      </c>
      <c r="G40" s="41"/>
      <c r="H40" s="34">
        <f t="shared" si="0"/>
        <v>5574200</v>
      </c>
      <c r="I40" s="16"/>
      <c r="J40" s="23"/>
    </row>
    <row r="41" spans="2:10" s="2" customFormat="1" ht="15.75" customHeight="1" x14ac:dyDescent="0.25">
      <c r="B41" s="44">
        <v>46197</v>
      </c>
      <c r="C41" s="43" t="s">
        <v>272</v>
      </c>
      <c r="D41" s="8" t="s">
        <v>245</v>
      </c>
      <c r="E41" s="7" t="s">
        <v>20</v>
      </c>
      <c r="F41" s="22"/>
      <c r="G41" s="22">
        <v>98000</v>
      </c>
      <c r="H41" s="35">
        <f t="shared" si="0"/>
        <v>5476200</v>
      </c>
      <c r="I41" s="16"/>
      <c r="J41" s="23"/>
    </row>
    <row r="42" spans="2:10" s="2" customFormat="1" ht="15.75" customHeight="1" x14ac:dyDescent="0.25">
      <c r="B42" s="44">
        <v>46197</v>
      </c>
      <c r="C42" s="43" t="s">
        <v>272</v>
      </c>
      <c r="D42" s="8" t="s">
        <v>246</v>
      </c>
      <c r="E42" s="7" t="s">
        <v>95</v>
      </c>
      <c r="F42" s="22"/>
      <c r="G42" s="22">
        <v>2047000</v>
      </c>
      <c r="H42" s="35">
        <f t="shared" si="0"/>
        <v>3429200</v>
      </c>
      <c r="I42" s="16"/>
      <c r="J42" s="23"/>
    </row>
    <row r="43" spans="2:10" s="2" customFormat="1" ht="15.75" customHeight="1" x14ac:dyDescent="0.25">
      <c r="B43" s="44">
        <v>46197</v>
      </c>
      <c r="C43" s="43" t="s">
        <v>272</v>
      </c>
      <c r="D43" s="8" t="s">
        <v>247</v>
      </c>
      <c r="E43" s="7" t="s">
        <v>95</v>
      </c>
      <c r="F43" s="22"/>
      <c r="G43" s="22">
        <v>1324000</v>
      </c>
      <c r="H43" s="35">
        <f t="shared" si="0"/>
        <v>2105200</v>
      </c>
      <c r="I43" s="16"/>
      <c r="J43" s="23"/>
    </row>
    <row r="44" spans="2:10" s="2" customFormat="1" ht="15.75" customHeight="1" x14ac:dyDescent="0.25">
      <c r="B44" s="44">
        <v>46197</v>
      </c>
      <c r="C44" s="43" t="s">
        <v>272</v>
      </c>
      <c r="D44" s="8" t="s">
        <v>271</v>
      </c>
      <c r="E44" s="7" t="s">
        <v>62</v>
      </c>
      <c r="F44" s="22"/>
      <c r="G44" s="22">
        <v>1636000</v>
      </c>
      <c r="H44" s="35">
        <f t="shared" si="0"/>
        <v>469200</v>
      </c>
      <c r="I44" s="16"/>
      <c r="J44" s="23"/>
    </row>
    <row r="45" spans="2:10" s="2" customFormat="1" ht="15.75" customHeight="1" x14ac:dyDescent="0.25">
      <c r="B45" s="44">
        <v>46197</v>
      </c>
      <c r="C45" s="43" t="s">
        <v>272</v>
      </c>
      <c r="D45" s="8" t="s">
        <v>248</v>
      </c>
      <c r="E45" s="7" t="s">
        <v>20</v>
      </c>
      <c r="F45" s="22"/>
      <c r="G45" s="22">
        <v>74000</v>
      </c>
      <c r="H45" s="35">
        <f t="shared" si="0"/>
        <v>395200</v>
      </c>
      <c r="I45" s="16"/>
      <c r="J45" s="23"/>
    </row>
    <row r="46" spans="2:10" s="2" customFormat="1" ht="15.75" customHeight="1" x14ac:dyDescent="0.25">
      <c r="B46" s="44">
        <v>46197</v>
      </c>
      <c r="C46" s="43" t="s">
        <v>272</v>
      </c>
      <c r="D46" s="8" t="s">
        <v>249</v>
      </c>
      <c r="E46" s="7" t="s">
        <v>20</v>
      </c>
      <c r="F46" s="22"/>
      <c r="G46" s="22">
        <v>36000</v>
      </c>
      <c r="H46" s="35">
        <f t="shared" si="0"/>
        <v>359200</v>
      </c>
      <c r="I46" s="16"/>
      <c r="J46" s="23"/>
    </row>
    <row r="47" spans="2:10" s="2" customFormat="1" ht="15.75" customHeight="1" x14ac:dyDescent="0.25">
      <c r="B47" s="44">
        <v>46202</v>
      </c>
      <c r="C47" s="43" t="s">
        <v>272</v>
      </c>
      <c r="D47" s="8" t="s">
        <v>244</v>
      </c>
      <c r="E47" s="7" t="s">
        <v>20</v>
      </c>
      <c r="F47" s="22"/>
      <c r="G47" s="22">
        <v>265000</v>
      </c>
      <c r="H47" s="35">
        <f t="shared" si="0"/>
        <v>94200</v>
      </c>
      <c r="I47" s="16"/>
      <c r="J47" s="23"/>
    </row>
    <row r="48" spans="2:10" s="2" customFormat="1" ht="15.75" customHeight="1" x14ac:dyDescent="0.25">
      <c r="B48" s="44">
        <v>46202</v>
      </c>
      <c r="C48" s="43" t="s">
        <v>272</v>
      </c>
      <c r="D48" s="8" t="s">
        <v>250</v>
      </c>
      <c r="E48" s="7" t="s">
        <v>20</v>
      </c>
      <c r="F48" s="22"/>
      <c r="G48" s="22">
        <v>74000</v>
      </c>
      <c r="H48" s="35">
        <f t="shared" si="0"/>
        <v>20200</v>
      </c>
      <c r="I48" s="16"/>
      <c r="J48" s="23"/>
    </row>
    <row r="49" spans="2:10" s="2" customFormat="1" ht="15.75" customHeight="1" x14ac:dyDescent="0.25">
      <c r="B49" s="44">
        <v>46203</v>
      </c>
      <c r="C49" s="43" t="s">
        <v>272</v>
      </c>
      <c r="D49" s="8" t="s">
        <v>251</v>
      </c>
      <c r="E49" s="7" t="s">
        <v>20</v>
      </c>
      <c r="F49" s="22"/>
      <c r="G49" s="22">
        <v>61000</v>
      </c>
      <c r="H49" s="35">
        <f t="shared" si="0"/>
        <v>-40800</v>
      </c>
      <c r="I49" s="16"/>
      <c r="J49" s="23"/>
    </row>
    <row r="50" spans="2:10" s="2" customFormat="1" ht="15.75" customHeight="1" x14ac:dyDescent="0.25">
      <c r="B50" s="44">
        <v>46203</v>
      </c>
      <c r="C50" s="43" t="s">
        <v>272</v>
      </c>
      <c r="D50" s="8" t="s">
        <v>292</v>
      </c>
      <c r="E50" s="7" t="s">
        <v>27</v>
      </c>
      <c r="F50" s="22"/>
      <c r="G50" s="22">
        <v>100000</v>
      </c>
      <c r="H50" s="35">
        <f t="shared" si="0"/>
        <v>-140800</v>
      </c>
      <c r="I50" s="16"/>
      <c r="J50" s="23"/>
    </row>
    <row r="51" spans="2:10" s="2" customFormat="1" ht="15.75" customHeight="1" x14ac:dyDescent="0.25">
      <c r="B51" s="44"/>
      <c r="C51" s="43"/>
      <c r="D51" s="8"/>
      <c r="E51" s="7"/>
      <c r="F51" s="22"/>
      <c r="G51" s="22"/>
      <c r="H51" s="35">
        <f t="shared" si="0"/>
        <v>-140800</v>
      </c>
      <c r="I51" s="16"/>
      <c r="J51" s="23"/>
    </row>
    <row r="52" spans="2:10" s="2" customFormat="1" ht="15.75" customHeight="1" x14ac:dyDescent="0.25">
      <c r="B52" s="3"/>
      <c r="C52" s="51"/>
      <c r="D52" s="3"/>
      <c r="E52" s="26"/>
      <c r="F52" s="19"/>
      <c r="G52" s="19"/>
      <c r="H52" s="4"/>
      <c r="J52" s="23"/>
    </row>
    <row r="53" spans="2:10" s="2" customFormat="1" ht="15.75" customHeight="1" x14ac:dyDescent="0.25">
      <c r="B53" s="3"/>
      <c r="C53" s="50"/>
      <c r="D53" s="4"/>
      <c r="E53" s="5"/>
      <c r="F53" s="19"/>
      <c r="G53" s="19"/>
      <c r="H53" s="4"/>
      <c r="I53" s="28"/>
      <c r="J53" s="23"/>
    </row>
    <row r="54" spans="2:10" s="2" customFormat="1" ht="15.75" customHeight="1" x14ac:dyDescent="0.25">
      <c r="B54" s="3" t="s">
        <v>7</v>
      </c>
      <c r="C54" s="51"/>
      <c r="D54" s="2" t="s">
        <v>8</v>
      </c>
      <c r="E54" s="25"/>
      <c r="F54" s="24"/>
      <c r="G54" s="23"/>
      <c r="H54" s="4"/>
      <c r="I54" s="16"/>
      <c r="J54" s="23"/>
    </row>
    <row r="55" spans="2:10" s="2" customFormat="1" ht="15.75" customHeight="1" x14ac:dyDescent="0.25">
      <c r="B55" s="4"/>
      <c r="C55" s="50"/>
      <c r="E55" s="5"/>
      <c r="F55" s="25"/>
      <c r="G55" s="23"/>
      <c r="H55" s="4"/>
      <c r="I55" s="58"/>
      <c r="J55" s="23"/>
    </row>
    <row r="56" spans="2:10" s="2" customFormat="1" ht="15.75" customHeight="1" x14ac:dyDescent="0.25">
      <c r="B56" s="3"/>
      <c r="C56" s="50"/>
      <c r="E56" s="5"/>
      <c r="F56" s="25"/>
      <c r="G56" s="23"/>
      <c r="H56" s="4"/>
      <c r="I56" s="58"/>
      <c r="J56" s="23"/>
    </row>
    <row r="57" spans="2:10" s="2" customFormat="1" ht="15.75" customHeight="1" x14ac:dyDescent="0.25">
      <c r="B57" s="4"/>
      <c r="C57" s="50"/>
      <c r="E57" s="5"/>
      <c r="F57" s="25"/>
      <c r="G57" s="23"/>
      <c r="H57" s="4"/>
      <c r="J57" s="23"/>
    </row>
    <row r="58" spans="2:10" s="2" customFormat="1" ht="15.75" customHeight="1" x14ac:dyDescent="0.25">
      <c r="B58" s="4"/>
      <c r="C58" s="50"/>
      <c r="E58" s="5"/>
      <c r="F58" s="25"/>
      <c r="G58" s="23"/>
      <c r="H58" s="4"/>
      <c r="J58" s="23"/>
    </row>
    <row r="59" spans="2:10" s="2" customFormat="1" ht="15.75" customHeight="1" x14ac:dyDescent="0.25">
      <c r="B59" s="11" t="s">
        <v>9</v>
      </c>
      <c r="C59" s="50"/>
      <c r="D59" s="12" t="s">
        <v>10</v>
      </c>
      <c r="E59" s="5"/>
      <c r="F59" s="23"/>
      <c r="G59" s="23"/>
      <c r="H59" s="4"/>
      <c r="J59" s="23"/>
    </row>
    <row r="60" spans="2:10" s="2" customFormat="1" ht="15.75" customHeight="1" x14ac:dyDescent="0.25">
      <c r="B60" s="4"/>
      <c r="C60" s="50"/>
      <c r="D60" s="13"/>
      <c r="E60" s="5"/>
      <c r="F60" s="19"/>
      <c r="G60" s="23"/>
      <c r="H60" s="4"/>
      <c r="J60" s="23"/>
    </row>
    <row r="61" spans="2:10" s="2" customFormat="1" ht="15.75" customHeight="1" x14ac:dyDescent="0.25">
      <c r="B61" s="3"/>
      <c r="C61" s="50"/>
      <c r="D61" s="4"/>
      <c r="E61" s="5"/>
      <c r="F61" s="19"/>
      <c r="G61" s="19"/>
      <c r="H61" s="4"/>
      <c r="J61" s="23"/>
    </row>
    <row r="62" spans="2:10" s="2" customFormat="1" ht="15.75" customHeight="1" x14ac:dyDescent="0.25">
      <c r="C62" s="49"/>
      <c r="E62" s="14"/>
      <c r="F62" s="23"/>
      <c r="G62" s="23"/>
      <c r="H62" s="16"/>
      <c r="J62" s="23"/>
    </row>
    <row r="63" spans="2:10" s="2" customFormat="1" ht="15.75" customHeight="1" x14ac:dyDescent="0.25">
      <c r="C63" s="49"/>
      <c r="E63" s="14"/>
      <c r="F63" s="23"/>
      <c r="G63" s="23"/>
      <c r="H63" s="16"/>
      <c r="J63" s="23"/>
    </row>
    <row r="64" spans="2:10" s="2" customFormat="1" ht="15.75" customHeight="1" x14ac:dyDescent="0.25">
      <c r="C64" s="49"/>
      <c r="E64" s="14"/>
      <c r="F64" s="23"/>
      <c r="G64" s="23"/>
      <c r="H64" s="16"/>
      <c r="J64" s="23"/>
    </row>
    <row r="65" spans="3:10" s="2" customFormat="1" ht="15.75" customHeight="1" x14ac:dyDescent="0.25">
      <c r="C65" s="49"/>
      <c r="E65" s="14"/>
      <c r="F65" s="23"/>
      <c r="G65" s="23"/>
      <c r="H65" s="16"/>
      <c r="J65" s="23"/>
    </row>
    <row r="66" spans="3:10" s="2" customFormat="1" ht="15.75" customHeight="1" x14ac:dyDescent="0.25">
      <c r="C66" s="49"/>
      <c r="E66" s="14"/>
      <c r="F66" s="23"/>
      <c r="G66" s="23"/>
      <c r="H66" s="16"/>
      <c r="J66" s="23"/>
    </row>
    <row r="67" spans="3:10" s="2" customFormat="1" ht="15.75" customHeight="1" x14ac:dyDescent="0.25">
      <c r="C67" s="49"/>
      <c r="E67" s="14"/>
      <c r="F67" s="23"/>
      <c r="G67" s="23"/>
      <c r="H67" s="16"/>
      <c r="J67" s="23"/>
    </row>
    <row r="68" spans="3:10" s="2" customFormat="1" ht="15.75" customHeight="1" x14ac:dyDescent="0.25">
      <c r="C68" s="49"/>
      <c r="E68" s="14"/>
      <c r="F68" s="23"/>
      <c r="G68" s="23"/>
      <c r="H68" s="16"/>
      <c r="J68" s="23"/>
    </row>
    <row r="69" spans="3:10" s="2" customFormat="1" ht="15.75" customHeight="1" x14ac:dyDescent="0.25">
      <c r="C69" s="49"/>
      <c r="E69" s="14"/>
      <c r="F69" s="23"/>
      <c r="G69" s="23"/>
      <c r="H69" s="16"/>
      <c r="J69" s="23"/>
    </row>
    <row r="70" spans="3:10" s="2" customFormat="1" ht="15.75" customHeight="1" x14ac:dyDescent="0.25">
      <c r="C70" s="49"/>
      <c r="E70" s="14"/>
      <c r="F70" s="23"/>
      <c r="G70" s="23"/>
      <c r="H70" s="16"/>
      <c r="J70" s="23"/>
    </row>
    <row r="71" spans="3:10" s="36" customFormat="1" ht="15.75" customHeight="1" x14ac:dyDescent="0.25">
      <c r="C71" s="52"/>
      <c r="E71" s="39"/>
      <c r="F71" s="37"/>
      <c r="G71" s="37"/>
      <c r="H71" s="38"/>
      <c r="J71" s="37"/>
    </row>
    <row r="72" spans="3:10" s="36" customFormat="1" ht="15.75" customHeight="1" x14ac:dyDescent="0.25">
      <c r="C72" s="52"/>
      <c r="E72" s="39"/>
      <c r="F72" s="37"/>
      <c r="G72" s="37"/>
      <c r="H72" s="38"/>
      <c r="J72" s="37"/>
    </row>
    <row r="73" spans="3:10" s="2" customFormat="1" ht="15.75" customHeight="1" x14ac:dyDescent="0.25">
      <c r="C73" s="49"/>
      <c r="E73" s="14"/>
      <c r="F73" s="23"/>
      <c r="G73" s="23"/>
      <c r="H73" s="16"/>
      <c r="J73" s="23"/>
    </row>
    <row r="74" spans="3:10" s="2" customFormat="1" ht="15.75" customHeight="1" x14ac:dyDescent="0.25">
      <c r="C74" s="49"/>
      <c r="E74" s="14"/>
      <c r="F74" s="23"/>
      <c r="G74" s="23"/>
      <c r="H74" s="16"/>
      <c r="J74" s="23"/>
    </row>
    <row r="75" spans="3:10" s="2" customFormat="1" ht="15.75" customHeight="1" x14ac:dyDescent="0.25">
      <c r="C75" s="49"/>
      <c r="E75" s="14"/>
      <c r="F75" s="23"/>
      <c r="G75" s="23"/>
      <c r="H75" s="16"/>
      <c r="J75" s="23"/>
    </row>
    <row r="76" spans="3:10" s="2" customFormat="1" ht="15.75" customHeight="1" x14ac:dyDescent="0.25">
      <c r="C76" s="49"/>
      <c r="E76" s="14"/>
      <c r="F76" s="23"/>
      <c r="G76" s="23"/>
      <c r="H76" s="16"/>
      <c r="J76" s="23"/>
    </row>
  </sheetData>
  <mergeCells count="2">
    <mergeCell ref="B3:H3"/>
    <mergeCell ref="B1:H2"/>
  </mergeCells>
  <pageMargins left="0.25" right="0.25" top="0.12" bottom="0.21" header="0.3" footer="0.12"/>
  <pageSetup paperSize="9" scale="71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524"/>
  <sheetViews>
    <sheetView tabSelected="1" zoomScale="71" zoomScaleNormal="71" workbookViewId="0">
      <selection activeCell="D355" sqref="D355"/>
    </sheetView>
  </sheetViews>
  <sheetFormatPr defaultColWidth="9" defaultRowHeight="17.100000000000001" customHeight="1" x14ac:dyDescent="0.25"/>
  <cols>
    <col min="1" max="1" width="1.7109375" style="79" customWidth="1"/>
    <col min="2" max="2" width="14.42578125" style="97" customWidth="1"/>
    <col min="3" max="3" width="19.140625" style="97" customWidth="1"/>
    <col min="4" max="4" width="129.42578125" style="79" bestFit="1" customWidth="1"/>
    <col min="5" max="5" width="16.7109375" style="98" bestFit="1" customWidth="1"/>
    <col min="6" max="6" width="12.7109375" style="95" customWidth="1"/>
    <col min="7" max="7" width="12.7109375" style="96" customWidth="1"/>
    <col min="8" max="8" width="12.7109375" style="79" customWidth="1"/>
    <col min="9" max="9" width="9" style="79"/>
    <col min="10" max="10" width="16.5703125" style="79" customWidth="1"/>
    <col min="11" max="11" width="10.85546875" style="79" bestFit="1" customWidth="1"/>
    <col min="12" max="12" width="13.5703125" style="79" bestFit="1" customWidth="1"/>
    <col min="13" max="16384" width="9" style="79"/>
  </cols>
  <sheetData>
    <row r="2" spans="1:10" ht="17.100000000000001" customHeight="1" x14ac:dyDescent="0.25">
      <c r="B2" s="130" t="s">
        <v>0</v>
      </c>
      <c r="C2" s="130"/>
      <c r="D2" s="130"/>
      <c r="E2" s="130"/>
      <c r="F2" s="130"/>
      <c r="G2" s="130"/>
      <c r="H2" s="130"/>
    </row>
    <row r="3" spans="1:10" ht="17.100000000000001" customHeight="1" x14ac:dyDescent="0.25">
      <c r="B3" s="130"/>
      <c r="C3" s="130"/>
      <c r="D3" s="130"/>
      <c r="E3" s="130"/>
      <c r="F3" s="130"/>
      <c r="G3" s="130"/>
      <c r="H3" s="130"/>
    </row>
    <row r="4" spans="1:10" ht="17.100000000000001" customHeight="1" x14ac:dyDescent="0.25">
      <c r="B4" s="130" t="s">
        <v>13</v>
      </c>
      <c r="C4" s="130"/>
      <c r="D4" s="130"/>
      <c r="E4" s="130"/>
      <c r="F4" s="130"/>
      <c r="G4" s="130"/>
      <c r="H4" s="130"/>
    </row>
    <row r="5" spans="1:10" ht="17.100000000000001" customHeight="1" x14ac:dyDescent="0.25">
      <c r="B5" s="103"/>
      <c r="C5" s="99"/>
      <c r="D5" s="105"/>
      <c r="E5" s="104"/>
      <c r="H5" s="106"/>
    </row>
    <row r="6" spans="1:10" s="59" customFormat="1" ht="17.100000000000001" customHeight="1" x14ac:dyDescent="0.25">
      <c r="B6" s="137" t="s">
        <v>2</v>
      </c>
      <c r="C6" s="60" t="s">
        <v>15</v>
      </c>
      <c r="D6" s="61" t="s">
        <v>3</v>
      </c>
      <c r="E6" s="131" t="s">
        <v>14</v>
      </c>
      <c r="F6" s="133" t="s">
        <v>4</v>
      </c>
      <c r="G6" s="135" t="s">
        <v>5</v>
      </c>
      <c r="H6" s="139" t="s">
        <v>6</v>
      </c>
    </row>
    <row r="7" spans="1:10" s="59" customFormat="1" ht="17.100000000000001" customHeight="1" x14ac:dyDescent="0.25">
      <c r="B7" s="138"/>
      <c r="C7" s="62" t="s">
        <v>16</v>
      </c>
      <c r="D7" s="63"/>
      <c r="E7" s="132"/>
      <c r="F7" s="134"/>
      <c r="G7" s="136"/>
      <c r="H7" s="140"/>
      <c r="J7" s="64"/>
    </row>
    <row r="8" spans="1:10" s="59" customFormat="1" ht="17.100000000000001" customHeight="1" x14ac:dyDescent="0.25">
      <c r="B8" s="65">
        <v>46174</v>
      </c>
      <c r="C8" s="66"/>
      <c r="D8" s="67" t="s">
        <v>11</v>
      </c>
      <c r="E8" s="68"/>
      <c r="F8" s="69"/>
      <c r="G8" s="70"/>
      <c r="H8" s="71">
        <v>605987</v>
      </c>
      <c r="J8" s="64"/>
    </row>
    <row r="9" spans="1:10" s="59" customFormat="1" ht="17.100000000000001" customHeight="1" x14ac:dyDescent="0.25">
      <c r="B9" s="72">
        <v>46175</v>
      </c>
      <c r="C9" s="73" t="s">
        <v>25</v>
      </c>
      <c r="D9" s="90" t="s">
        <v>49</v>
      </c>
      <c r="E9" s="75" t="s">
        <v>136</v>
      </c>
      <c r="F9" s="92"/>
      <c r="G9" s="77">
        <v>350000</v>
      </c>
      <c r="H9" s="78">
        <f>H8+F9-G9</f>
        <v>255987</v>
      </c>
      <c r="J9" s="64"/>
    </row>
    <row r="10" spans="1:10" s="59" customFormat="1" ht="17.100000000000001" customHeight="1" x14ac:dyDescent="0.25">
      <c r="B10" s="65">
        <v>46175</v>
      </c>
      <c r="C10" s="66" t="s">
        <v>43</v>
      </c>
      <c r="D10" s="100" t="s">
        <v>26</v>
      </c>
      <c r="E10" s="87" t="s">
        <v>27</v>
      </c>
      <c r="F10" s="88">
        <v>2000000</v>
      </c>
      <c r="G10" s="89"/>
      <c r="H10" s="71">
        <f t="shared" ref="H10:H72" si="0">H9+F10-G10</f>
        <v>2255987</v>
      </c>
      <c r="J10" s="64"/>
    </row>
    <row r="11" spans="1:10" ht="17.100000000000001" customHeight="1" x14ac:dyDescent="0.25">
      <c r="B11" s="72">
        <v>46175</v>
      </c>
      <c r="C11" s="73" t="s">
        <v>37</v>
      </c>
      <c r="D11" s="74" t="s">
        <v>39</v>
      </c>
      <c r="E11" s="75" t="s">
        <v>42</v>
      </c>
      <c r="F11" s="84"/>
      <c r="G11" s="77">
        <v>25000</v>
      </c>
      <c r="H11" s="78">
        <f t="shared" si="0"/>
        <v>2230987</v>
      </c>
      <c r="J11" s="80"/>
    </row>
    <row r="12" spans="1:10" ht="17.100000000000001" customHeight="1" x14ac:dyDescent="0.25">
      <c r="B12" s="72">
        <v>46175</v>
      </c>
      <c r="C12" s="81" t="s">
        <v>18</v>
      </c>
      <c r="D12" s="82" t="s">
        <v>40</v>
      </c>
      <c r="E12" s="75" t="s">
        <v>42</v>
      </c>
      <c r="F12" s="84"/>
      <c r="G12" s="77">
        <v>25000</v>
      </c>
      <c r="H12" s="78">
        <f t="shared" si="0"/>
        <v>2205987</v>
      </c>
      <c r="J12" s="80"/>
    </row>
    <row r="13" spans="1:10" ht="17.100000000000001" customHeight="1" x14ac:dyDescent="0.25">
      <c r="B13" s="72">
        <v>46175</v>
      </c>
      <c r="C13" s="73" t="s">
        <v>19</v>
      </c>
      <c r="D13" s="83" t="s">
        <v>41</v>
      </c>
      <c r="E13" s="94" t="s">
        <v>42</v>
      </c>
      <c r="F13" s="76"/>
      <c r="G13" s="77">
        <v>50000</v>
      </c>
      <c r="H13" s="78">
        <f t="shared" si="0"/>
        <v>2155987</v>
      </c>
      <c r="J13" s="80"/>
    </row>
    <row r="14" spans="1:10" ht="17.100000000000001" customHeight="1" x14ac:dyDescent="0.25">
      <c r="A14" s="79">
        <v>8</v>
      </c>
      <c r="B14" s="72">
        <v>46175</v>
      </c>
      <c r="C14" s="73" t="s">
        <v>47</v>
      </c>
      <c r="D14" s="74" t="s">
        <v>45</v>
      </c>
      <c r="E14" s="75" t="s">
        <v>21</v>
      </c>
      <c r="F14" s="84"/>
      <c r="G14" s="77">
        <v>25000</v>
      </c>
      <c r="H14" s="78">
        <f t="shared" si="0"/>
        <v>2130987</v>
      </c>
      <c r="J14" s="80"/>
    </row>
    <row r="15" spans="1:10" ht="17.100000000000001" customHeight="1" x14ac:dyDescent="0.25">
      <c r="B15" s="72">
        <v>46175</v>
      </c>
      <c r="C15" s="81" t="s">
        <v>18</v>
      </c>
      <c r="D15" s="82" t="s">
        <v>46</v>
      </c>
      <c r="E15" s="75" t="s">
        <v>21</v>
      </c>
      <c r="F15" s="84"/>
      <c r="G15" s="77">
        <v>25000</v>
      </c>
      <c r="H15" s="78">
        <f t="shared" si="0"/>
        <v>2105987</v>
      </c>
      <c r="J15" s="80"/>
    </row>
    <row r="16" spans="1:10" ht="17.100000000000001" customHeight="1" x14ac:dyDescent="0.25">
      <c r="B16" s="72">
        <v>46175</v>
      </c>
      <c r="C16" s="73" t="s">
        <v>30</v>
      </c>
      <c r="D16" s="74" t="s">
        <v>31</v>
      </c>
      <c r="E16" s="75" t="s">
        <v>32</v>
      </c>
      <c r="F16" s="84"/>
      <c r="G16" s="77">
        <v>25000</v>
      </c>
      <c r="H16" s="78">
        <f t="shared" si="0"/>
        <v>2080987</v>
      </c>
      <c r="J16" s="80"/>
    </row>
    <row r="17" spans="1:10" ht="17.100000000000001" customHeight="1" x14ac:dyDescent="0.25">
      <c r="B17" s="72">
        <v>46175</v>
      </c>
      <c r="C17" s="81" t="s">
        <v>18</v>
      </c>
      <c r="D17" s="82" t="s">
        <v>38</v>
      </c>
      <c r="E17" s="75" t="s">
        <v>32</v>
      </c>
      <c r="F17" s="84"/>
      <c r="G17" s="77">
        <v>25000</v>
      </c>
      <c r="H17" s="78">
        <f t="shared" si="0"/>
        <v>2055987</v>
      </c>
      <c r="J17" s="80"/>
    </row>
    <row r="18" spans="1:10" ht="17.100000000000001" customHeight="1" x14ac:dyDescent="0.25">
      <c r="B18" s="72">
        <v>46175</v>
      </c>
      <c r="C18" s="73" t="s">
        <v>22</v>
      </c>
      <c r="D18" s="74" t="s">
        <v>29</v>
      </c>
      <c r="E18" s="75" t="s">
        <v>23</v>
      </c>
      <c r="F18" s="84"/>
      <c r="G18" s="77">
        <v>25000</v>
      </c>
      <c r="H18" s="78">
        <f t="shared" si="0"/>
        <v>2030987</v>
      </c>
      <c r="J18" s="80"/>
    </row>
    <row r="19" spans="1:10" ht="17.100000000000001" customHeight="1" x14ac:dyDescent="0.25">
      <c r="B19" s="72">
        <v>46175</v>
      </c>
      <c r="C19" s="81" t="s">
        <v>18</v>
      </c>
      <c r="D19" s="82" t="s">
        <v>24</v>
      </c>
      <c r="E19" s="75" t="s">
        <v>23</v>
      </c>
      <c r="F19" s="84"/>
      <c r="G19" s="77">
        <v>25000</v>
      </c>
      <c r="H19" s="78">
        <f t="shared" si="0"/>
        <v>2005987</v>
      </c>
      <c r="J19" s="80"/>
    </row>
    <row r="20" spans="1:10" ht="17.100000000000001" customHeight="1" x14ac:dyDescent="0.25">
      <c r="B20" s="72">
        <v>46175</v>
      </c>
      <c r="C20" s="73" t="s">
        <v>52</v>
      </c>
      <c r="D20" s="90" t="s">
        <v>51</v>
      </c>
      <c r="E20" s="75" t="s">
        <v>36</v>
      </c>
      <c r="F20" s="84"/>
      <c r="G20" s="77">
        <v>503000</v>
      </c>
      <c r="H20" s="78">
        <f t="shared" si="0"/>
        <v>1502987</v>
      </c>
      <c r="J20" s="80"/>
    </row>
    <row r="21" spans="1:10" ht="17.100000000000001" customHeight="1" x14ac:dyDescent="0.25">
      <c r="B21" s="72">
        <v>46175</v>
      </c>
      <c r="C21" s="73" t="s">
        <v>44</v>
      </c>
      <c r="D21" s="74" t="s">
        <v>53</v>
      </c>
      <c r="E21" s="75" t="s">
        <v>35</v>
      </c>
      <c r="F21" s="76"/>
      <c r="G21" s="77">
        <v>300000</v>
      </c>
      <c r="H21" s="78">
        <f t="shared" si="0"/>
        <v>1202987</v>
      </c>
      <c r="J21" s="80"/>
    </row>
    <row r="22" spans="1:10" ht="17.100000000000001" customHeight="1" x14ac:dyDescent="0.25">
      <c r="B22" s="72">
        <v>46175</v>
      </c>
      <c r="C22" s="73" t="s">
        <v>57</v>
      </c>
      <c r="D22" s="74" t="s">
        <v>56</v>
      </c>
      <c r="E22" s="75" t="s">
        <v>55</v>
      </c>
      <c r="F22" s="84"/>
      <c r="G22" s="77">
        <v>390000</v>
      </c>
      <c r="H22" s="78">
        <f t="shared" si="0"/>
        <v>812987</v>
      </c>
      <c r="J22" s="80"/>
    </row>
    <row r="23" spans="1:10" ht="17.100000000000001" customHeight="1" x14ac:dyDescent="0.25">
      <c r="A23" s="107"/>
      <c r="B23" s="72">
        <v>46175</v>
      </c>
      <c r="C23" s="73" t="s">
        <v>284</v>
      </c>
      <c r="D23" s="74" t="s">
        <v>60</v>
      </c>
      <c r="E23" s="75" t="s">
        <v>36</v>
      </c>
      <c r="F23" s="84"/>
      <c r="G23" s="77">
        <v>600000</v>
      </c>
      <c r="H23" s="78">
        <f t="shared" si="0"/>
        <v>212987</v>
      </c>
      <c r="J23" s="80"/>
    </row>
    <row r="24" spans="1:10" ht="17.100000000000001" customHeight="1" x14ac:dyDescent="0.25">
      <c r="B24" s="72">
        <v>46176</v>
      </c>
      <c r="C24" s="73" t="s">
        <v>22</v>
      </c>
      <c r="D24" s="74" t="s">
        <v>63</v>
      </c>
      <c r="E24" s="75" t="s">
        <v>23</v>
      </c>
      <c r="F24" s="84"/>
      <c r="G24" s="77">
        <v>25000</v>
      </c>
      <c r="H24" s="78">
        <f t="shared" si="0"/>
        <v>187987</v>
      </c>
      <c r="J24" s="80"/>
    </row>
    <row r="25" spans="1:10" ht="17.100000000000001" customHeight="1" x14ac:dyDescent="0.25">
      <c r="B25" s="72">
        <v>46176</v>
      </c>
      <c r="C25" s="81" t="s">
        <v>18</v>
      </c>
      <c r="D25" s="74" t="s">
        <v>281</v>
      </c>
      <c r="E25" s="75" t="s">
        <v>23</v>
      </c>
      <c r="F25" s="84"/>
      <c r="G25" s="77">
        <v>25000</v>
      </c>
      <c r="H25" s="78">
        <f t="shared" si="0"/>
        <v>162987</v>
      </c>
      <c r="J25" s="80"/>
    </row>
    <row r="26" spans="1:10" ht="17.100000000000001" customHeight="1" x14ac:dyDescent="0.25">
      <c r="B26" s="72">
        <v>46176</v>
      </c>
      <c r="C26" s="73" t="s">
        <v>30</v>
      </c>
      <c r="D26" s="74" t="s">
        <v>31</v>
      </c>
      <c r="E26" s="75" t="s">
        <v>32</v>
      </c>
      <c r="F26" s="84"/>
      <c r="G26" s="77">
        <v>25000</v>
      </c>
      <c r="H26" s="78">
        <f t="shared" si="0"/>
        <v>137987</v>
      </c>
      <c r="J26" s="80"/>
    </row>
    <row r="27" spans="1:10" ht="17.100000000000001" customHeight="1" x14ac:dyDescent="0.25">
      <c r="B27" s="72">
        <v>46176</v>
      </c>
      <c r="C27" s="81" t="s">
        <v>18</v>
      </c>
      <c r="D27" s="82" t="s">
        <v>38</v>
      </c>
      <c r="E27" s="75" t="s">
        <v>32</v>
      </c>
      <c r="F27" s="84"/>
      <c r="G27" s="77">
        <v>25000</v>
      </c>
      <c r="H27" s="78">
        <f t="shared" si="0"/>
        <v>112987</v>
      </c>
      <c r="J27" s="80"/>
    </row>
    <row r="28" spans="1:10" ht="17.100000000000001" customHeight="1" x14ac:dyDescent="0.25">
      <c r="B28" s="72">
        <v>46176</v>
      </c>
      <c r="C28" s="73" t="s">
        <v>19</v>
      </c>
      <c r="D28" s="83" t="s">
        <v>33</v>
      </c>
      <c r="E28" s="75" t="s">
        <v>32</v>
      </c>
      <c r="F28" s="84"/>
      <c r="G28" s="77">
        <v>50000</v>
      </c>
      <c r="H28" s="78">
        <f t="shared" si="0"/>
        <v>62987</v>
      </c>
      <c r="J28" s="80"/>
    </row>
    <row r="29" spans="1:10" ht="17.100000000000001" customHeight="1" x14ac:dyDescent="0.25">
      <c r="B29" s="65">
        <v>46179</v>
      </c>
      <c r="C29" s="66" t="s">
        <v>43</v>
      </c>
      <c r="D29" s="110" t="s">
        <v>26</v>
      </c>
      <c r="E29" s="87" t="s">
        <v>27</v>
      </c>
      <c r="F29" s="88">
        <v>7000000</v>
      </c>
      <c r="G29" s="89"/>
      <c r="H29" s="71">
        <f t="shared" si="0"/>
        <v>7062987</v>
      </c>
      <c r="J29" s="80"/>
    </row>
    <row r="30" spans="1:10" ht="17.100000000000001" customHeight="1" x14ac:dyDescent="0.25">
      <c r="A30" s="107"/>
      <c r="B30" s="72">
        <v>46179</v>
      </c>
      <c r="C30" s="73" t="s">
        <v>18</v>
      </c>
      <c r="D30" s="74" t="s">
        <v>73</v>
      </c>
      <c r="E30" s="75" t="s">
        <v>21</v>
      </c>
      <c r="F30" s="77"/>
      <c r="G30" s="77">
        <v>25000</v>
      </c>
      <c r="H30" s="78">
        <f t="shared" si="0"/>
        <v>7037987</v>
      </c>
      <c r="J30" s="80"/>
    </row>
    <row r="31" spans="1:10" ht="17.100000000000001" customHeight="1" x14ac:dyDescent="0.25">
      <c r="B31" s="72">
        <v>46179</v>
      </c>
      <c r="C31" s="73" t="s">
        <v>19</v>
      </c>
      <c r="D31" s="74" t="s">
        <v>74</v>
      </c>
      <c r="E31" s="75" t="s">
        <v>21</v>
      </c>
      <c r="F31" s="77"/>
      <c r="G31" s="77">
        <v>50000</v>
      </c>
      <c r="H31" s="78">
        <f t="shared" si="0"/>
        <v>6987987</v>
      </c>
      <c r="J31" s="80"/>
    </row>
    <row r="32" spans="1:10" ht="17.100000000000001" customHeight="1" x14ac:dyDescent="0.25">
      <c r="B32" s="72">
        <v>46179</v>
      </c>
      <c r="C32" s="73" t="s">
        <v>67</v>
      </c>
      <c r="D32" s="83" t="s">
        <v>68</v>
      </c>
      <c r="E32" s="75" t="s">
        <v>69</v>
      </c>
      <c r="F32" s="84"/>
      <c r="G32" s="77">
        <v>287000</v>
      </c>
      <c r="H32" s="78">
        <f t="shared" si="0"/>
        <v>6700987</v>
      </c>
      <c r="J32" s="80"/>
    </row>
    <row r="33" spans="2:10" ht="17.100000000000001" customHeight="1" x14ac:dyDescent="0.25">
      <c r="B33" s="72">
        <v>46179</v>
      </c>
      <c r="C33" s="73" t="s">
        <v>37</v>
      </c>
      <c r="D33" s="74" t="s">
        <v>75</v>
      </c>
      <c r="E33" s="75" t="s">
        <v>42</v>
      </c>
      <c r="F33" s="84"/>
      <c r="G33" s="77">
        <v>25000</v>
      </c>
      <c r="H33" s="78">
        <f t="shared" si="0"/>
        <v>6675987</v>
      </c>
      <c r="J33" s="80"/>
    </row>
    <row r="34" spans="2:10" ht="17.100000000000001" customHeight="1" x14ac:dyDescent="0.25">
      <c r="B34" s="72">
        <v>46179</v>
      </c>
      <c r="C34" s="73" t="s">
        <v>18</v>
      </c>
      <c r="D34" s="74" t="s">
        <v>76</v>
      </c>
      <c r="E34" s="75" t="s">
        <v>42</v>
      </c>
      <c r="F34" s="84"/>
      <c r="G34" s="77">
        <v>25000</v>
      </c>
      <c r="H34" s="78">
        <f t="shared" si="0"/>
        <v>6650987</v>
      </c>
      <c r="J34" s="80"/>
    </row>
    <row r="35" spans="2:10" ht="17.100000000000001" customHeight="1" x14ac:dyDescent="0.25">
      <c r="B35" s="72">
        <v>46179</v>
      </c>
      <c r="C35" s="81" t="s">
        <v>19</v>
      </c>
      <c r="D35" s="82" t="s">
        <v>77</v>
      </c>
      <c r="E35" s="75" t="s">
        <v>42</v>
      </c>
      <c r="F35" s="84"/>
      <c r="G35" s="77">
        <v>50000</v>
      </c>
      <c r="H35" s="78">
        <f t="shared" si="0"/>
        <v>6600987</v>
      </c>
      <c r="J35" s="80"/>
    </row>
    <row r="36" spans="2:10" ht="17.100000000000001" customHeight="1" x14ac:dyDescent="0.25">
      <c r="B36" s="72">
        <v>46179</v>
      </c>
      <c r="C36" s="127" t="s">
        <v>285</v>
      </c>
      <c r="D36" s="83" t="s">
        <v>78</v>
      </c>
      <c r="E36" s="94" t="s">
        <v>28</v>
      </c>
      <c r="F36" s="76"/>
      <c r="G36" s="77">
        <v>50000</v>
      </c>
      <c r="H36" s="78">
        <f t="shared" si="0"/>
        <v>6550987</v>
      </c>
      <c r="J36" s="80"/>
    </row>
    <row r="37" spans="2:10" ht="17.100000000000001" customHeight="1" x14ac:dyDescent="0.25">
      <c r="B37" s="72">
        <v>46179</v>
      </c>
      <c r="C37" s="127" t="s">
        <v>285</v>
      </c>
      <c r="D37" s="74" t="s">
        <v>71</v>
      </c>
      <c r="E37" s="75" t="s">
        <v>28</v>
      </c>
      <c r="F37" s="84"/>
      <c r="G37" s="77">
        <v>120000</v>
      </c>
      <c r="H37" s="78">
        <f t="shared" si="0"/>
        <v>6430987</v>
      </c>
      <c r="J37" s="80"/>
    </row>
    <row r="38" spans="2:10" ht="17.100000000000001" customHeight="1" x14ac:dyDescent="0.25">
      <c r="B38" s="72">
        <v>46179</v>
      </c>
      <c r="C38" s="127" t="s">
        <v>286</v>
      </c>
      <c r="D38" s="74" t="s">
        <v>72</v>
      </c>
      <c r="E38" s="75" t="s">
        <v>28</v>
      </c>
      <c r="F38" s="84"/>
      <c r="G38" s="77">
        <v>20000</v>
      </c>
      <c r="H38" s="78">
        <f t="shared" si="0"/>
        <v>6410987</v>
      </c>
      <c r="J38" s="80"/>
    </row>
    <row r="39" spans="2:10" ht="17.100000000000001" customHeight="1" x14ac:dyDescent="0.25">
      <c r="B39" s="72">
        <v>46179</v>
      </c>
      <c r="C39" s="81" t="s">
        <v>30</v>
      </c>
      <c r="D39" s="74" t="s">
        <v>79</v>
      </c>
      <c r="E39" s="75" t="s">
        <v>32</v>
      </c>
      <c r="F39" s="84"/>
      <c r="G39" s="77">
        <v>25000</v>
      </c>
      <c r="H39" s="78">
        <f t="shared" si="0"/>
        <v>6385987</v>
      </c>
      <c r="J39" s="80"/>
    </row>
    <row r="40" spans="2:10" ht="17.100000000000001" customHeight="1" x14ac:dyDescent="0.25">
      <c r="B40" s="72">
        <v>46179</v>
      </c>
      <c r="C40" s="73" t="s">
        <v>18</v>
      </c>
      <c r="D40" s="74" t="s">
        <v>80</v>
      </c>
      <c r="E40" s="75" t="s">
        <v>32</v>
      </c>
      <c r="F40" s="84"/>
      <c r="G40" s="77">
        <v>25000</v>
      </c>
      <c r="H40" s="78">
        <f t="shared" si="0"/>
        <v>6360987</v>
      </c>
      <c r="J40" s="80"/>
    </row>
    <row r="41" spans="2:10" ht="17.100000000000001" customHeight="1" x14ac:dyDescent="0.25">
      <c r="B41" s="72">
        <v>46179</v>
      </c>
      <c r="C41" s="81" t="s">
        <v>19</v>
      </c>
      <c r="D41" s="82" t="s">
        <v>81</v>
      </c>
      <c r="E41" s="75" t="s">
        <v>32</v>
      </c>
      <c r="F41" s="84"/>
      <c r="G41" s="77">
        <v>50000</v>
      </c>
      <c r="H41" s="78">
        <f t="shared" si="0"/>
        <v>6310987</v>
      </c>
      <c r="J41" s="80"/>
    </row>
    <row r="42" spans="2:10" ht="17.100000000000001" customHeight="1" x14ac:dyDescent="0.25">
      <c r="B42" s="72">
        <v>46179</v>
      </c>
      <c r="C42" s="73" t="s">
        <v>37</v>
      </c>
      <c r="D42" s="83" t="s">
        <v>82</v>
      </c>
      <c r="E42" s="75" t="s">
        <v>42</v>
      </c>
      <c r="F42" s="84"/>
      <c r="G42" s="77">
        <v>25000</v>
      </c>
      <c r="H42" s="78">
        <f t="shared" si="0"/>
        <v>6285987</v>
      </c>
      <c r="J42" s="80"/>
    </row>
    <row r="43" spans="2:10" ht="17.100000000000001" customHeight="1" x14ac:dyDescent="0.25">
      <c r="B43" s="72">
        <v>46179</v>
      </c>
      <c r="C43" s="73" t="s">
        <v>18</v>
      </c>
      <c r="D43" s="74" t="s">
        <v>83</v>
      </c>
      <c r="E43" s="75" t="s">
        <v>42</v>
      </c>
      <c r="F43" s="84"/>
      <c r="G43" s="77">
        <v>25000</v>
      </c>
      <c r="H43" s="78">
        <f t="shared" si="0"/>
        <v>6260987</v>
      </c>
      <c r="J43" s="80"/>
    </row>
    <row r="44" spans="2:10" ht="17.100000000000001" customHeight="1" x14ac:dyDescent="0.25">
      <c r="B44" s="72">
        <v>46179</v>
      </c>
      <c r="C44" s="81" t="s">
        <v>19</v>
      </c>
      <c r="D44" s="82" t="s">
        <v>84</v>
      </c>
      <c r="E44" s="75" t="s">
        <v>42</v>
      </c>
      <c r="F44" s="84"/>
      <c r="G44" s="77">
        <v>50000</v>
      </c>
      <c r="H44" s="78">
        <f t="shared" si="0"/>
        <v>6210987</v>
      </c>
      <c r="J44" s="80"/>
    </row>
    <row r="45" spans="2:10" ht="17.100000000000001" customHeight="1" x14ac:dyDescent="0.25">
      <c r="B45" s="72">
        <v>46179</v>
      </c>
      <c r="C45" s="73" t="s">
        <v>30</v>
      </c>
      <c r="D45" s="83" t="s">
        <v>85</v>
      </c>
      <c r="E45" s="94" t="s">
        <v>32</v>
      </c>
      <c r="F45" s="76"/>
      <c r="G45" s="77">
        <v>25000</v>
      </c>
      <c r="H45" s="78">
        <f t="shared" si="0"/>
        <v>6185987</v>
      </c>
      <c r="J45" s="80"/>
    </row>
    <row r="46" spans="2:10" ht="17.100000000000001" customHeight="1" x14ac:dyDescent="0.25">
      <c r="B46" s="72">
        <v>46179</v>
      </c>
      <c r="C46" s="73" t="s">
        <v>18</v>
      </c>
      <c r="D46" s="74" t="s">
        <v>86</v>
      </c>
      <c r="E46" s="75" t="s">
        <v>32</v>
      </c>
      <c r="F46" s="84"/>
      <c r="G46" s="77">
        <v>25000</v>
      </c>
      <c r="H46" s="78">
        <f t="shared" si="0"/>
        <v>6160987</v>
      </c>
      <c r="J46" s="80"/>
    </row>
    <row r="47" spans="2:10" ht="17.100000000000001" customHeight="1" x14ac:dyDescent="0.25">
      <c r="B47" s="72">
        <v>46179</v>
      </c>
      <c r="C47" s="81" t="s">
        <v>19</v>
      </c>
      <c r="D47" s="82" t="s">
        <v>87</v>
      </c>
      <c r="E47" s="75" t="s">
        <v>32</v>
      </c>
      <c r="F47" s="84"/>
      <c r="G47" s="77">
        <v>50000</v>
      </c>
      <c r="H47" s="78">
        <f t="shared" si="0"/>
        <v>6110987</v>
      </c>
      <c r="J47" s="80"/>
    </row>
    <row r="48" spans="2:10" ht="17.100000000000001" customHeight="1" x14ac:dyDescent="0.25">
      <c r="B48" s="72">
        <v>46179</v>
      </c>
      <c r="C48" s="73" t="s">
        <v>184</v>
      </c>
      <c r="D48" s="111" t="s">
        <v>90</v>
      </c>
      <c r="E48" s="75" t="s">
        <v>91</v>
      </c>
      <c r="F48" s="84"/>
      <c r="G48" s="77">
        <v>50000</v>
      </c>
      <c r="H48" s="78">
        <f t="shared" si="0"/>
        <v>6060987</v>
      </c>
      <c r="J48" s="80"/>
    </row>
    <row r="49" spans="2:10" ht="17.100000000000001" customHeight="1" x14ac:dyDescent="0.25">
      <c r="B49" s="72">
        <v>46179</v>
      </c>
      <c r="C49" s="73" t="s">
        <v>141</v>
      </c>
      <c r="D49" s="83" t="s">
        <v>88</v>
      </c>
      <c r="E49" s="75" t="s">
        <v>21</v>
      </c>
      <c r="F49" s="84"/>
      <c r="G49" s="77">
        <v>100000</v>
      </c>
      <c r="H49" s="78">
        <f t="shared" si="0"/>
        <v>5960987</v>
      </c>
      <c r="J49" s="80"/>
    </row>
    <row r="50" spans="2:10" ht="17.100000000000001" customHeight="1" x14ac:dyDescent="0.25">
      <c r="B50" s="72">
        <v>46179</v>
      </c>
      <c r="C50" s="73" t="s">
        <v>185</v>
      </c>
      <c r="D50" s="74" t="s">
        <v>89</v>
      </c>
      <c r="E50" s="75" t="s">
        <v>21</v>
      </c>
      <c r="F50" s="86"/>
      <c r="G50" s="77">
        <v>30000</v>
      </c>
      <c r="H50" s="78">
        <f t="shared" si="0"/>
        <v>5930987</v>
      </c>
      <c r="J50" s="80"/>
    </row>
    <row r="51" spans="2:10" ht="17.100000000000001" customHeight="1" x14ac:dyDescent="0.25">
      <c r="B51" s="72">
        <v>46179</v>
      </c>
      <c r="C51" s="73" t="s">
        <v>44</v>
      </c>
      <c r="D51" s="74" t="s">
        <v>102</v>
      </c>
      <c r="E51" s="75" t="s">
        <v>20</v>
      </c>
      <c r="F51" s="113"/>
      <c r="G51" s="77">
        <v>260000</v>
      </c>
      <c r="H51" s="78">
        <f t="shared" si="0"/>
        <v>5670987</v>
      </c>
      <c r="J51" s="80"/>
    </row>
    <row r="52" spans="2:10" ht="17.100000000000001" customHeight="1" x14ac:dyDescent="0.25">
      <c r="B52" s="72">
        <v>46179</v>
      </c>
      <c r="C52" s="81" t="s">
        <v>30</v>
      </c>
      <c r="D52" s="74" t="s">
        <v>99</v>
      </c>
      <c r="E52" s="75" t="s">
        <v>32</v>
      </c>
      <c r="F52" s="84"/>
      <c r="G52" s="77">
        <v>25000</v>
      </c>
      <c r="H52" s="78">
        <f t="shared" si="0"/>
        <v>5645987</v>
      </c>
      <c r="J52" s="80"/>
    </row>
    <row r="53" spans="2:10" ht="17.100000000000001" customHeight="1" x14ac:dyDescent="0.25">
      <c r="B53" s="72">
        <v>46179</v>
      </c>
      <c r="C53" s="73" t="s">
        <v>18</v>
      </c>
      <c r="D53" s="74" t="s">
        <v>100</v>
      </c>
      <c r="E53" s="75" t="s">
        <v>32</v>
      </c>
      <c r="F53" s="84"/>
      <c r="G53" s="77">
        <v>25000</v>
      </c>
      <c r="H53" s="78">
        <f t="shared" si="0"/>
        <v>5620987</v>
      </c>
      <c r="J53" s="80"/>
    </row>
    <row r="54" spans="2:10" ht="17.100000000000001" customHeight="1" x14ac:dyDescent="0.25">
      <c r="B54" s="72">
        <v>46179</v>
      </c>
      <c r="C54" s="81" t="s">
        <v>19</v>
      </c>
      <c r="D54" s="82" t="s">
        <v>101</v>
      </c>
      <c r="E54" s="75" t="s">
        <v>32</v>
      </c>
      <c r="F54" s="84"/>
      <c r="G54" s="77">
        <v>50000</v>
      </c>
      <c r="H54" s="78">
        <f t="shared" si="0"/>
        <v>5570987</v>
      </c>
      <c r="J54" s="80"/>
    </row>
    <row r="55" spans="2:10" ht="17.100000000000001" customHeight="1" x14ac:dyDescent="0.25">
      <c r="B55" s="72">
        <v>46179</v>
      </c>
      <c r="C55" s="73" t="s">
        <v>103</v>
      </c>
      <c r="D55" s="74" t="s">
        <v>104</v>
      </c>
      <c r="E55" s="75" t="s">
        <v>105</v>
      </c>
      <c r="F55" s="84"/>
      <c r="G55" s="77">
        <v>25000</v>
      </c>
      <c r="H55" s="78">
        <f t="shared" si="0"/>
        <v>5545987</v>
      </c>
      <c r="J55" s="80"/>
    </row>
    <row r="56" spans="2:10" ht="17.100000000000001" customHeight="1" x14ac:dyDescent="0.25">
      <c r="B56" s="72">
        <v>46179</v>
      </c>
      <c r="C56" s="81" t="s">
        <v>18</v>
      </c>
      <c r="D56" s="82" t="s">
        <v>106</v>
      </c>
      <c r="E56" s="75" t="s">
        <v>105</v>
      </c>
      <c r="F56" s="84"/>
      <c r="G56" s="77">
        <v>25000</v>
      </c>
      <c r="H56" s="78">
        <f t="shared" si="0"/>
        <v>5520987</v>
      </c>
      <c r="J56" s="80"/>
    </row>
    <row r="57" spans="2:10" ht="17.100000000000001" customHeight="1" x14ac:dyDescent="0.25">
      <c r="B57" s="72">
        <v>46179</v>
      </c>
      <c r="C57" s="73" t="s">
        <v>19</v>
      </c>
      <c r="D57" s="83" t="s">
        <v>107</v>
      </c>
      <c r="E57" s="75" t="s">
        <v>105</v>
      </c>
      <c r="F57" s="84"/>
      <c r="G57" s="77">
        <v>50000</v>
      </c>
      <c r="H57" s="78">
        <f t="shared" si="0"/>
        <v>5470987</v>
      </c>
      <c r="J57" s="80"/>
    </row>
    <row r="58" spans="2:10" ht="17.100000000000001" customHeight="1" x14ac:dyDescent="0.25">
      <c r="B58" s="72">
        <v>46179</v>
      </c>
      <c r="C58" s="81" t="s">
        <v>30</v>
      </c>
      <c r="D58" s="83" t="s">
        <v>108</v>
      </c>
      <c r="E58" s="75" t="s">
        <v>32</v>
      </c>
      <c r="F58" s="85"/>
      <c r="G58" s="77">
        <v>100000</v>
      </c>
      <c r="H58" s="78">
        <f t="shared" si="0"/>
        <v>5370987</v>
      </c>
      <c r="J58" s="80"/>
    </row>
    <row r="59" spans="2:10" ht="17.100000000000001" customHeight="1" x14ac:dyDescent="0.25">
      <c r="B59" s="72">
        <v>46179</v>
      </c>
      <c r="C59" s="73" t="s">
        <v>22</v>
      </c>
      <c r="D59" s="82" t="s">
        <v>109</v>
      </c>
      <c r="E59" s="75" t="s">
        <v>23</v>
      </c>
      <c r="F59" s="84"/>
      <c r="G59" s="77">
        <v>25000</v>
      </c>
      <c r="H59" s="78">
        <f t="shared" si="0"/>
        <v>5345987</v>
      </c>
      <c r="J59" s="80"/>
    </row>
    <row r="60" spans="2:10" ht="17.100000000000001" customHeight="1" x14ac:dyDescent="0.25">
      <c r="B60" s="72">
        <v>46179</v>
      </c>
      <c r="C60" s="73" t="s">
        <v>18</v>
      </c>
      <c r="D60" s="74" t="s">
        <v>282</v>
      </c>
      <c r="E60" s="75" t="s">
        <v>23</v>
      </c>
      <c r="F60" s="84"/>
      <c r="G60" s="77">
        <v>25000</v>
      </c>
      <c r="H60" s="78">
        <f t="shared" si="0"/>
        <v>5320987</v>
      </c>
      <c r="J60" s="80"/>
    </row>
    <row r="61" spans="2:10" ht="17.100000000000001" customHeight="1" x14ac:dyDescent="0.25">
      <c r="B61" s="72">
        <v>46179</v>
      </c>
      <c r="C61" s="127" t="s">
        <v>287</v>
      </c>
      <c r="D61" s="74" t="s">
        <v>110</v>
      </c>
      <c r="E61" s="75" t="s">
        <v>28</v>
      </c>
      <c r="F61" s="84"/>
      <c r="G61" s="77">
        <v>42000</v>
      </c>
      <c r="H61" s="78">
        <f t="shared" si="0"/>
        <v>5278987</v>
      </c>
      <c r="J61" s="80"/>
    </row>
    <row r="62" spans="2:10" ht="17.100000000000001" customHeight="1" x14ac:dyDescent="0.25">
      <c r="B62" s="72">
        <v>46179</v>
      </c>
      <c r="C62" s="127" t="s">
        <v>287</v>
      </c>
      <c r="D62" s="74" t="s">
        <v>111</v>
      </c>
      <c r="E62" s="75" t="s">
        <v>28</v>
      </c>
      <c r="F62" s="84"/>
      <c r="G62" s="77">
        <v>83000</v>
      </c>
      <c r="H62" s="78">
        <f t="shared" si="0"/>
        <v>5195987</v>
      </c>
      <c r="J62" s="80"/>
    </row>
    <row r="63" spans="2:10" ht="17.100000000000001" customHeight="1" x14ac:dyDescent="0.25">
      <c r="B63" s="72">
        <v>46179</v>
      </c>
      <c r="C63" s="128" t="s">
        <v>293</v>
      </c>
      <c r="D63" s="82" t="s">
        <v>112</v>
      </c>
      <c r="E63" s="75" t="s">
        <v>36</v>
      </c>
      <c r="F63" s="84"/>
      <c r="G63" s="77">
        <v>111000</v>
      </c>
      <c r="H63" s="78">
        <f t="shared" si="0"/>
        <v>5084987</v>
      </c>
      <c r="J63" s="80"/>
    </row>
    <row r="64" spans="2:10" ht="17.100000000000001" customHeight="1" x14ac:dyDescent="0.25">
      <c r="B64" s="72">
        <v>46179</v>
      </c>
      <c r="C64" s="81" t="s">
        <v>30</v>
      </c>
      <c r="D64" s="74" t="s">
        <v>113</v>
      </c>
      <c r="E64" s="75" t="s">
        <v>32</v>
      </c>
      <c r="F64" s="84"/>
      <c r="G64" s="77">
        <v>25000</v>
      </c>
      <c r="H64" s="78">
        <f t="shared" si="0"/>
        <v>5059987</v>
      </c>
      <c r="J64" s="80"/>
    </row>
    <row r="65" spans="2:10" ht="17.100000000000001" customHeight="1" x14ac:dyDescent="0.25">
      <c r="B65" s="72">
        <v>46179</v>
      </c>
      <c r="C65" s="73" t="s">
        <v>18</v>
      </c>
      <c r="D65" s="74" t="s">
        <v>114</v>
      </c>
      <c r="E65" s="75" t="s">
        <v>32</v>
      </c>
      <c r="F65" s="84"/>
      <c r="G65" s="77">
        <v>25000</v>
      </c>
      <c r="H65" s="78">
        <f t="shared" si="0"/>
        <v>5034987</v>
      </c>
      <c r="J65" s="80"/>
    </row>
    <row r="66" spans="2:10" ht="17.100000000000001" customHeight="1" x14ac:dyDescent="0.25">
      <c r="B66" s="72">
        <v>46179</v>
      </c>
      <c r="C66" s="81" t="s">
        <v>19</v>
      </c>
      <c r="D66" s="82" t="s">
        <v>115</v>
      </c>
      <c r="E66" s="75" t="s">
        <v>32</v>
      </c>
      <c r="F66" s="84"/>
      <c r="G66" s="77">
        <v>50000</v>
      </c>
      <c r="H66" s="78">
        <f t="shared" si="0"/>
        <v>4984987</v>
      </c>
      <c r="J66" s="80"/>
    </row>
    <row r="67" spans="2:10" ht="17.100000000000001" customHeight="1" x14ac:dyDescent="0.25">
      <c r="B67" s="72">
        <v>46179</v>
      </c>
      <c r="C67" s="73" t="s">
        <v>37</v>
      </c>
      <c r="D67" s="83" t="s">
        <v>116</v>
      </c>
      <c r="E67" s="75" t="s">
        <v>42</v>
      </c>
      <c r="F67" s="84"/>
      <c r="G67" s="77">
        <v>25000</v>
      </c>
      <c r="H67" s="78">
        <f t="shared" si="0"/>
        <v>4959987</v>
      </c>
      <c r="J67" s="80"/>
    </row>
    <row r="68" spans="2:10" ht="17.100000000000001" customHeight="1" x14ac:dyDescent="0.25">
      <c r="B68" s="72">
        <v>46179</v>
      </c>
      <c r="C68" s="73" t="s">
        <v>18</v>
      </c>
      <c r="D68" s="74" t="s">
        <v>117</v>
      </c>
      <c r="E68" s="75" t="s">
        <v>42</v>
      </c>
      <c r="F68" s="84"/>
      <c r="G68" s="77">
        <v>25000</v>
      </c>
      <c r="H68" s="78">
        <f t="shared" si="0"/>
        <v>4934987</v>
      </c>
      <c r="J68" s="80"/>
    </row>
    <row r="69" spans="2:10" ht="17.100000000000001" customHeight="1" x14ac:dyDescent="0.25">
      <c r="B69" s="72">
        <v>46179</v>
      </c>
      <c r="C69" s="81" t="s">
        <v>19</v>
      </c>
      <c r="D69" s="82" t="s">
        <v>118</v>
      </c>
      <c r="E69" s="75" t="s">
        <v>42</v>
      </c>
      <c r="F69" s="84"/>
      <c r="G69" s="77">
        <v>50000</v>
      </c>
      <c r="H69" s="78">
        <f t="shared" si="0"/>
        <v>4884987</v>
      </c>
      <c r="J69" s="80"/>
    </row>
    <row r="70" spans="2:10" ht="17.100000000000001" customHeight="1" x14ac:dyDescent="0.25">
      <c r="B70" s="72">
        <v>46179</v>
      </c>
      <c r="C70" s="73" t="s">
        <v>22</v>
      </c>
      <c r="D70" s="74" t="s">
        <v>124</v>
      </c>
      <c r="E70" s="75" t="s">
        <v>23</v>
      </c>
      <c r="F70" s="84"/>
      <c r="G70" s="77">
        <v>25000</v>
      </c>
      <c r="H70" s="78">
        <f t="shared" si="0"/>
        <v>4859987</v>
      </c>
      <c r="J70" s="80"/>
    </row>
    <row r="71" spans="2:10" ht="17.100000000000001" customHeight="1" x14ac:dyDescent="0.25">
      <c r="B71" s="72">
        <v>46179</v>
      </c>
      <c r="C71" s="81" t="s">
        <v>18</v>
      </c>
      <c r="D71" s="82" t="s">
        <v>125</v>
      </c>
      <c r="E71" s="75" t="s">
        <v>23</v>
      </c>
      <c r="F71" s="84"/>
      <c r="G71" s="77">
        <v>25000</v>
      </c>
      <c r="H71" s="78">
        <f t="shared" si="0"/>
        <v>4834987</v>
      </c>
      <c r="J71" s="80"/>
    </row>
    <row r="72" spans="2:10" ht="17.100000000000001" customHeight="1" x14ac:dyDescent="0.25">
      <c r="B72" s="72">
        <v>46179</v>
      </c>
      <c r="C72" s="73" t="s">
        <v>19</v>
      </c>
      <c r="D72" s="83" t="s">
        <v>126</v>
      </c>
      <c r="E72" s="75" t="s">
        <v>23</v>
      </c>
      <c r="F72" s="84"/>
      <c r="G72" s="77">
        <v>50000</v>
      </c>
      <c r="H72" s="78">
        <f t="shared" si="0"/>
        <v>4784987</v>
      </c>
      <c r="J72" s="80"/>
    </row>
    <row r="73" spans="2:10" ht="17.100000000000001" customHeight="1" x14ac:dyDescent="0.25">
      <c r="B73" s="72">
        <v>46179</v>
      </c>
      <c r="C73" s="127" t="s">
        <v>286</v>
      </c>
      <c r="D73" s="74" t="s">
        <v>121</v>
      </c>
      <c r="E73" s="75" t="s">
        <v>28</v>
      </c>
      <c r="F73" s="85"/>
      <c r="G73" s="77">
        <v>20000</v>
      </c>
      <c r="H73" s="78">
        <f t="shared" ref="H73:H136" si="1">H72+F73-G73</f>
        <v>4764987</v>
      </c>
      <c r="J73" s="80"/>
    </row>
    <row r="74" spans="2:10" ht="17.100000000000001" customHeight="1" x14ac:dyDescent="0.25">
      <c r="B74" s="72">
        <v>46179</v>
      </c>
      <c r="C74" s="127" t="s">
        <v>286</v>
      </c>
      <c r="D74" s="74" t="s">
        <v>120</v>
      </c>
      <c r="E74" s="75" t="s">
        <v>28</v>
      </c>
      <c r="F74" s="84"/>
      <c r="G74" s="77">
        <v>17000</v>
      </c>
      <c r="H74" s="78">
        <f t="shared" si="1"/>
        <v>4747987</v>
      </c>
      <c r="J74" s="80"/>
    </row>
    <row r="75" spans="2:10" ht="17.100000000000001" customHeight="1" x14ac:dyDescent="0.25">
      <c r="B75" s="72">
        <v>46179</v>
      </c>
      <c r="C75" s="127" t="s">
        <v>286</v>
      </c>
      <c r="D75" s="74" t="s">
        <v>122</v>
      </c>
      <c r="E75" s="75" t="s">
        <v>28</v>
      </c>
      <c r="F75" s="92"/>
      <c r="G75" s="77">
        <v>50000</v>
      </c>
      <c r="H75" s="78">
        <f t="shared" si="1"/>
        <v>4697987</v>
      </c>
      <c r="J75" s="80"/>
    </row>
    <row r="76" spans="2:10" ht="17.100000000000001" customHeight="1" x14ac:dyDescent="0.25">
      <c r="B76" s="72">
        <v>46179</v>
      </c>
      <c r="C76" s="127" t="s">
        <v>286</v>
      </c>
      <c r="D76" s="74" t="s">
        <v>123</v>
      </c>
      <c r="E76" s="75" t="s">
        <v>28</v>
      </c>
      <c r="F76" s="84"/>
      <c r="G76" s="77">
        <v>25000</v>
      </c>
      <c r="H76" s="78">
        <f t="shared" si="1"/>
        <v>4672987</v>
      </c>
      <c r="J76" s="80"/>
    </row>
    <row r="77" spans="2:10" ht="17.100000000000001" customHeight="1" x14ac:dyDescent="0.25">
      <c r="B77" s="72">
        <v>46179</v>
      </c>
      <c r="C77" s="73" t="s">
        <v>22</v>
      </c>
      <c r="D77" s="74" t="s">
        <v>29</v>
      </c>
      <c r="E77" s="75" t="s">
        <v>23</v>
      </c>
      <c r="F77" s="84"/>
      <c r="G77" s="77">
        <v>25000</v>
      </c>
      <c r="H77" s="78">
        <f t="shared" si="1"/>
        <v>4647987</v>
      </c>
      <c r="J77" s="80"/>
    </row>
    <row r="78" spans="2:10" ht="17.100000000000001" customHeight="1" x14ac:dyDescent="0.25">
      <c r="B78" s="72">
        <v>46179</v>
      </c>
      <c r="C78" s="81" t="s">
        <v>18</v>
      </c>
      <c r="D78" s="82" t="s">
        <v>24</v>
      </c>
      <c r="E78" s="75" t="s">
        <v>23</v>
      </c>
      <c r="F78" s="84"/>
      <c r="G78" s="77">
        <v>25000</v>
      </c>
      <c r="H78" s="78">
        <f t="shared" si="1"/>
        <v>4622987</v>
      </c>
      <c r="J78" s="80"/>
    </row>
    <row r="79" spans="2:10" ht="17.100000000000001" customHeight="1" x14ac:dyDescent="0.25">
      <c r="B79" s="72">
        <v>46179</v>
      </c>
      <c r="C79" s="73" t="s">
        <v>19</v>
      </c>
      <c r="D79" s="83" t="s">
        <v>119</v>
      </c>
      <c r="E79" s="75" t="s">
        <v>23</v>
      </c>
      <c r="F79" s="84"/>
      <c r="G79" s="77">
        <v>50000</v>
      </c>
      <c r="H79" s="78">
        <f t="shared" si="1"/>
        <v>4572987</v>
      </c>
      <c r="J79" s="80"/>
    </row>
    <row r="80" spans="2:10" ht="17.100000000000001" customHeight="1" x14ac:dyDescent="0.25">
      <c r="B80" s="72">
        <v>46179</v>
      </c>
      <c r="C80" s="73" t="s">
        <v>37</v>
      </c>
      <c r="D80" s="83" t="s">
        <v>127</v>
      </c>
      <c r="E80" s="75" t="s">
        <v>42</v>
      </c>
      <c r="F80" s="84"/>
      <c r="G80" s="77">
        <v>25000</v>
      </c>
      <c r="H80" s="78">
        <f t="shared" si="1"/>
        <v>4547987</v>
      </c>
      <c r="J80" s="80"/>
    </row>
    <row r="81" spans="1:12" ht="17.100000000000001" customHeight="1" x14ac:dyDescent="0.25">
      <c r="B81" s="72">
        <v>46179</v>
      </c>
      <c r="C81" s="73" t="s">
        <v>18</v>
      </c>
      <c r="D81" s="74" t="s">
        <v>40</v>
      </c>
      <c r="E81" s="75" t="s">
        <v>42</v>
      </c>
      <c r="F81" s="84"/>
      <c r="G81" s="77">
        <v>25000</v>
      </c>
      <c r="H81" s="78">
        <f t="shared" si="1"/>
        <v>4522987</v>
      </c>
      <c r="J81" s="80"/>
    </row>
    <row r="82" spans="1:12" ht="17.100000000000001" customHeight="1" x14ac:dyDescent="0.25">
      <c r="B82" s="72">
        <v>46179</v>
      </c>
      <c r="C82" s="81" t="s">
        <v>19</v>
      </c>
      <c r="D82" s="82" t="s">
        <v>41</v>
      </c>
      <c r="E82" s="75" t="s">
        <v>42</v>
      </c>
      <c r="F82" s="84"/>
      <c r="G82" s="77">
        <v>50000</v>
      </c>
      <c r="H82" s="78">
        <f t="shared" si="1"/>
        <v>4472987</v>
      </c>
      <c r="J82" s="80"/>
    </row>
    <row r="83" spans="1:12" ht="17.100000000000001" customHeight="1" x14ac:dyDescent="0.25">
      <c r="B83" s="72">
        <v>46180</v>
      </c>
      <c r="C83" s="73" t="s">
        <v>25</v>
      </c>
      <c r="D83" s="83" t="s">
        <v>128</v>
      </c>
      <c r="E83" s="75" t="s">
        <v>130</v>
      </c>
      <c r="F83" s="84"/>
      <c r="G83" s="77">
        <v>75000</v>
      </c>
      <c r="H83" s="78">
        <f t="shared" si="1"/>
        <v>4397987</v>
      </c>
      <c r="J83" s="80"/>
    </row>
    <row r="84" spans="1:12" ht="17.100000000000001" customHeight="1" x14ac:dyDescent="0.25">
      <c r="B84" s="72">
        <v>46180</v>
      </c>
      <c r="C84" s="73" t="s">
        <v>25</v>
      </c>
      <c r="D84" s="83" t="s">
        <v>129</v>
      </c>
      <c r="E84" s="75" t="s">
        <v>35</v>
      </c>
      <c r="F84" s="86"/>
      <c r="G84" s="77">
        <v>75000</v>
      </c>
      <c r="H84" s="78">
        <f t="shared" si="1"/>
        <v>4322987</v>
      </c>
      <c r="J84" s="80"/>
    </row>
    <row r="85" spans="1:12" ht="17.100000000000001" customHeight="1" x14ac:dyDescent="0.25">
      <c r="B85" s="72">
        <v>46180</v>
      </c>
      <c r="C85" s="127" t="s">
        <v>288</v>
      </c>
      <c r="D85" s="83" t="s">
        <v>131</v>
      </c>
      <c r="E85" s="75" t="s">
        <v>28</v>
      </c>
      <c r="F85" s="86"/>
      <c r="G85" s="77">
        <v>17000</v>
      </c>
      <c r="H85" s="78">
        <f t="shared" si="1"/>
        <v>4305987</v>
      </c>
      <c r="J85" s="80"/>
    </row>
    <row r="86" spans="1:12" ht="17.100000000000001" customHeight="1" x14ac:dyDescent="0.25">
      <c r="A86" s="79" t="s">
        <v>17</v>
      </c>
      <c r="B86" s="72">
        <v>46180</v>
      </c>
      <c r="C86" s="127" t="s">
        <v>288</v>
      </c>
      <c r="D86" s="83" t="s">
        <v>183</v>
      </c>
      <c r="E86" s="75" t="s">
        <v>28</v>
      </c>
      <c r="F86" s="86"/>
      <c r="G86" s="77">
        <v>32000</v>
      </c>
      <c r="H86" s="78">
        <f t="shared" si="1"/>
        <v>4273987</v>
      </c>
      <c r="J86" s="80"/>
    </row>
    <row r="87" spans="1:12" ht="17.100000000000001" customHeight="1" x14ac:dyDescent="0.25">
      <c r="B87" s="72">
        <v>46180</v>
      </c>
      <c r="C87" s="127" t="s">
        <v>288</v>
      </c>
      <c r="D87" s="83" t="s">
        <v>182</v>
      </c>
      <c r="E87" s="75" t="s">
        <v>28</v>
      </c>
      <c r="F87" s="84"/>
      <c r="G87" s="77">
        <v>46000</v>
      </c>
      <c r="H87" s="78">
        <f t="shared" si="1"/>
        <v>4227987</v>
      </c>
      <c r="J87" s="80"/>
    </row>
    <row r="88" spans="1:12" ht="17.100000000000001" customHeight="1" x14ac:dyDescent="0.25">
      <c r="B88" s="72">
        <v>46180</v>
      </c>
      <c r="C88" s="127" t="s">
        <v>288</v>
      </c>
      <c r="D88" s="83" t="s">
        <v>132</v>
      </c>
      <c r="E88" s="75" t="s">
        <v>28</v>
      </c>
      <c r="F88" s="84"/>
      <c r="G88" s="77">
        <v>45500</v>
      </c>
      <c r="H88" s="78">
        <f t="shared" si="1"/>
        <v>4182487</v>
      </c>
      <c r="J88" s="80"/>
    </row>
    <row r="89" spans="1:12" ht="17.100000000000001" customHeight="1" x14ac:dyDescent="0.25">
      <c r="B89" s="72">
        <v>46180</v>
      </c>
      <c r="C89" s="127" t="s">
        <v>288</v>
      </c>
      <c r="D89" s="82" t="s">
        <v>133</v>
      </c>
      <c r="E89" s="75" t="s">
        <v>28</v>
      </c>
      <c r="F89" s="84"/>
      <c r="G89" s="77">
        <v>102000</v>
      </c>
      <c r="H89" s="78">
        <f t="shared" si="1"/>
        <v>4080487</v>
      </c>
      <c r="J89" s="80"/>
    </row>
    <row r="90" spans="1:12" ht="17.100000000000001" customHeight="1" x14ac:dyDescent="0.25">
      <c r="B90" s="72">
        <v>46181</v>
      </c>
      <c r="C90" s="127" t="s">
        <v>289</v>
      </c>
      <c r="D90" s="83" t="s">
        <v>134</v>
      </c>
      <c r="E90" s="75" t="s">
        <v>28</v>
      </c>
      <c r="F90" s="84"/>
      <c r="G90" s="77">
        <v>15000</v>
      </c>
      <c r="H90" s="78">
        <f t="shared" si="1"/>
        <v>4065487</v>
      </c>
      <c r="J90" s="80"/>
    </row>
    <row r="91" spans="1:12" ht="17.100000000000001" customHeight="1" x14ac:dyDescent="0.25">
      <c r="B91" s="72">
        <v>46181</v>
      </c>
      <c r="C91" s="126" t="s">
        <v>44</v>
      </c>
      <c r="D91" s="82" t="s">
        <v>135</v>
      </c>
      <c r="E91" s="75" t="s">
        <v>42</v>
      </c>
      <c r="F91" s="84"/>
      <c r="G91" s="77">
        <v>65000</v>
      </c>
      <c r="H91" s="78">
        <f t="shared" si="1"/>
        <v>4000487</v>
      </c>
      <c r="J91" s="80"/>
      <c r="L91" s="79" t="s">
        <v>17</v>
      </c>
    </row>
    <row r="92" spans="1:12" ht="17.100000000000001" customHeight="1" x14ac:dyDescent="0.25">
      <c r="B92" s="72">
        <v>46181</v>
      </c>
      <c r="C92" s="125" t="s">
        <v>25</v>
      </c>
      <c r="D92" s="90" t="s">
        <v>137</v>
      </c>
      <c r="E92" s="75" t="s">
        <v>136</v>
      </c>
      <c r="F92" s="85"/>
      <c r="G92" s="77">
        <v>650000</v>
      </c>
      <c r="H92" s="78">
        <f t="shared" si="1"/>
        <v>3350487</v>
      </c>
      <c r="J92" s="80"/>
    </row>
    <row r="93" spans="1:12" ht="17.100000000000001" customHeight="1" x14ac:dyDescent="0.25">
      <c r="B93" s="72">
        <v>46181</v>
      </c>
      <c r="C93" s="73" t="s">
        <v>37</v>
      </c>
      <c r="D93" s="83" t="s">
        <v>127</v>
      </c>
      <c r="E93" s="75" t="s">
        <v>42</v>
      </c>
      <c r="F93" s="84"/>
      <c r="G93" s="77">
        <v>25000</v>
      </c>
      <c r="H93" s="78">
        <f t="shared" si="1"/>
        <v>3325487</v>
      </c>
      <c r="J93" s="80"/>
    </row>
    <row r="94" spans="1:12" ht="17.100000000000001" customHeight="1" x14ac:dyDescent="0.25">
      <c r="B94" s="72">
        <v>46181</v>
      </c>
      <c r="C94" s="73" t="s">
        <v>18</v>
      </c>
      <c r="D94" s="74" t="s">
        <v>40</v>
      </c>
      <c r="E94" s="75" t="s">
        <v>42</v>
      </c>
      <c r="F94" s="84"/>
      <c r="G94" s="77">
        <v>25000</v>
      </c>
      <c r="H94" s="78">
        <f t="shared" si="1"/>
        <v>3300487</v>
      </c>
      <c r="J94" s="80"/>
    </row>
    <row r="95" spans="1:12" ht="17.100000000000001" customHeight="1" x14ac:dyDescent="0.25">
      <c r="B95" s="72">
        <v>46181</v>
      </c>
      <c r="C95" s="73" t="s">
        <v>22</v>
      </c>
      <c r="D95" s="74" t="s">
        <v>29</v>
      </c>
      <c r="E95" s="75" t="s">
        <v>23</v>
      </c>
      <c r="F95" s="84"/>
      <c r="G95" s="77">
        <v>25000</v>
      </c>
      <c r="H95" s="78">
        <f t="shared" si="1"/>
        <v>3275487</v>
      </c>
      <c r="J95" s="80"/>
    </row>
    <row r="96" spans="1:12" ht="17.100000000000001" customHeight="1" x14ac:dyDescent="0.25">
      <c r="B96" s="72">
        <v>46181</v>
      </c>
      <c r="C96" s="81" t="s">
        <v>18</v>
      </c>
      <c r="D96" s="82" t="s">
        <v>24</v>
      </c>
      <c r="E96" s="75" t="s">
        <v>23</v>
      </c>
      <c r="F96" s="84"/>
      <c r="G96" s="77">
        <v>25000</v>
      </c>
      <c r="H96" s="78">
        <f t="shared" si="1"/>
        <v>3250487</v>
      </c>
      <c r="J96" s="80"/>
    </row>
    <row r="97" spans="2:10" ht="17.100000000000001" customHeight="1" x14ac:dyDescent="0.25">
      <c r="B97" s="72">
        <v>46181</v>
      </c>
      <c r="C97" s="81" t="s">
        <v>30</v>
      </c>
      <c r="D97" s="74" t="s">
        <v>31</v>
      </c>
      <c r="E97" s="75" t="s">
        <v>32</v>
      </c>
      <c r="F97" s="84"/>
      <c r="G97" s="77">
        <v>25000</v>
      </c>
      <c r="H97" s="78">
        <f t="shared" si="1"/>
        <v>3225487</v>
      </c>
      <c r="J97" s="80"/>
    </row>
    <row r="98" spans="2:10" ht="17.100000000000001" customHeight="1" x14ac:dyDescent="0.25">
      <c r="B98" s="72">
        <v>46181</v>
      </c>
      <c r="C98" s="73" t="s">
        <v>18</v>
      </c>
      <c r="D98" s="74" t="s">
        <v>138</v>
      </c>
      <c r="E98" s="75" t="s">
        <v>32</v>
      </c>
      <c r="F98" s="84"/>
      <c r="G98" s="77">
        <v>25000</v>
      </c>
      <c r="H98" s="78">
        <f t="shared" si="1"/>
        <v>3200487</v>
      </c>
      <c r="J98" s="80"/>
    </row>
    <row r="99" spans="2:10" ht="17.100000000000001" customHeight="1" x14ac:dyDescent="0.25">
      <c r="B99" s="72">
        <v>46181</v>
      </c>
      <c r="C99" s="73" t="s">
        <v>141</v>
      </c>
      <c r="D99" s="74" t="s">
        <v>139</v>
      </c>
      <c r="E99" s="75" t="s">
        <v>21</v>
      </c>
      <c r="F99" s="84"/>
      <c r="G99" s="77">
        <v>25000</v>
      </c>
      <c r="H99" s="78">
        <f t="shared" si="1"/>
        <v>3175487</v>
      </c>
      <c r="J99" s="80"/>
    </row>
    <row r="100" spans="2:10" ht="17.100000000000001" customHeight="1" x14ac:dyDescent="0.25">
      <c r="B100" s="72">
        <v>46181</v>
      </c>
      <c r="C100" s="81" t="s">
        <v>18</v>
      </c>
      <c r="D100" s="82" t="s">
        <v>140</v>
      </c>
      <c r="E100" s="75" t="s">
        <v>21</v>
      </c>
      <c r="F100" s="84"/>
      <c r="G100" s="77">
        <v>25000</v>
      </c>
      <c r="H100" s="78">
        <f t="shared" si="1"/>
        <v>3150487</v>
      </c>
      <c r="J100" s="80"/>
    </row>
    <row r="101" spans="2:10" ht="17.100000000000001" customHeight="1" x14ac:dyDescent="0.25">
      <c r="B101" s="72">
        <v>46182</v>
      </c>
      <c r="C101" s="73" t="s">
        <v>184</v>
      </c>
      <c r="D101" s="82" t="s">
        <v>142</v>
      </c>
      <c r="E101" s="75" t="s">
        <v>143</v>
      </c>
      <c r="F101" s="86"/>
      <c r="G101" s="93">
        <v>50000</v>
      </c>
      <c r="H101" s="78">
        <f>H100+F101-G101</f>
        <v>3100487</v>
      </c>
      <c r="J101" s="80"/>
    </row>
    <row r="102" spans="2:10" ht="17.100000000000001" customHeight="1" x14ac:dyDescent="0.25">
      <c r="B102" s="72">
        <v>46182</v>
      </c>
      <c r="C102" s="73" t="s">
        <v>22</v>
      </c>
      <c r="D102" s="74" t="s">
        <v>29</v>
      </c>
      <c r="E102" s="75" t="s">
        <v>23</v>
      </c>
      <c r="F102" s="84"/>
      <c r="G102" s="77">
        <v>25000</v>
      </c>
      <c r="H102" s="78">
        <f t="shared" si="1"/>
        <v>3075487</v>
      </c>
      <c r="J102" s="80"/>
    </row>
    <row r="103" spans="2:10" ht="17.100000000000001" customHeight="1" x14ac:dyDescent="0.25">
      <c r="B103" s="72">
        <v>46182</v>
      </c>
      <c r="C103" s="81" t="s">
        <v>18</v>
      </c>
      <c r="D103" s="82" t="s">
        <v>24</v>
      </c>
      <c r="E103" s="75" t="s">
        <v>23</v>
      </c>
      <c r="F103" s="84"/>
      <c r="G103" s="77">
        <v>25000</v>
      </c>
      <c r="H103" s="78">
        <f t="shared" si="1"/>
        <v>3050487</v>
      </c>
      <c r="J103" s="80"/>
    </row>
    <row r="104" spans="2:10" ht="17.100000000000001" customHeight="1" x14ac:dyDescent="0.25">
      <c r="B104" s="72">
        <v>46182</v>
      </c>
      <c r="C104" s="81" t="s">
        <v>30</v>
      </c>
      <c r="D104" s="74" t="s">
        <v>31</v>
      </c>
      <c r="E104" s="75" t="s">
        <v>32</v>
      </c>
      <c r="F104" s="84"/>
      <c r="G104" s="77">
        <v>25000</v>
      </c>
      <c r="H104" s="78">
        <f t="shared" si="1"/>
        <v>3025487</v>
      </c>
      <c r="J104" s="80"/>
    </row>
    <row r="105" spans="2:10" ht="17.100000000000001" customHeight="1" x14ac:dyDescent="0.25">
      <c r="B105" s="72">
        <v>46182</v>
      </c>
      <c r="C105" s="73" t="s">
        <v>18</v>
      </c>
      <c r="D105" s="74" t="s">
        <v>138</v>
      </c>
      <c r="E105" s="75" t="s">
        <v>32</v>
      </c>
      <c r="F105" s="84"/>
      <c r="G105" s="77">
        <v>25000</v>
      </c>
      <c r="H105" s="78">
        <f t="shared" si="1"/>
        <v>3000487</v>
      </c>
      <c r="J105" s="80"/>
    </row>
    <row r="106" spans="2:10" ht="17.100000000000001" customHeight="1" x14ac:dyDescent="0.25">
      <c r="B106" s="72">
        <v>46182</v>
      </c>
      <c r="C106" s="73" t="s">
        <v>141</v>
      </c>
      <c r="D106" s="74" t="s">
        <v>139</v>
      </c>
      <c r="E106" s="75" t="s">
        <v>21</v>
      </c>
      <c r="F106" s="84"/>
      <c r="G106" s="77">
        <v>25000</v>
      </c>
      <c r="H106" s="78">
        <f t="shared" si="1"/>
        <v>2975487</v>
      </c>
      <c r="J106" s="80"/>
    </row>
    <row r="107" spans="2:10" ht="17.100000000000001" customHeight="1" x14ac:dyDescent="0.25">
      <c r="B107" s="72">
        <v>46182</v>
      </c>
      <c r="C107" s="81" t="s">
        <v>18</v>
      </c>
      <c r="D107" s="82" t="s">
        <v>140</v>
      </c>
      <c r="E107" s="75" t="s">
        <v>21</v>
      </c>
      <c r="F107" s="84"/>
      <c r="G107" s="77">
        <v>25000</v>
      </c>
      <c r="H107" s="78">
        <f t="shared" si="1"/>
        <v>2950487</v>
      </c>
      <c r="J107" s="80"/>
    </row>
    <row r="108" spans="2:10" ht="17.100000000000001" customHeight="1" x14ac:dyDescent="0.25">
      <c r="B108" s="72">
        <v>46182</v>
      </c>
      <c r="C108" s="73" t="s">
        <v>37</v>
      </c>
      <c r="D108" s="82" t="s">
        <v>154</v>
      </c>
      <c r="E108" s="75" t="s">
        <v>144</v>
      </c>
      <c r="F108" s="84"/>
      <c r="G108" s="77">
        <v>100000</v>
      </c>
      <c r="H108" s="78">
        <f t="shared" si="1"/>
        <v>2850487</v>
      </c>
      <c r="J108" s="80"/>
    </row>
    <row r="109" spans="2:10" ht="17.100000000000001" customHeight="1" x14ac:dyDescent="0.25">
      <c r="B109" s="72">
        <v>46182</v>
      </c>
      <c r="C109" s="73" t="s">
        <v>276</v>
      </c>
      <c r="D109" s="74" t="s">
        <v>145</v>
      </c>
      <c r="E109" s="75" t="s">
        <v>146</v>
      </c>
      <c r="F109" s="84"/>
      <c r="G109" s="77">
        <v>80000</v>
      </c>
      <c r="H109" s="78">
        <f t="shared" si="1"/>
        <v>2770487</v>
      </c>
      <c r="J109" s="80"/>
    </row>
    <row r="110" spans="2:10" ht="17.100000000000001" customHeight="1" x14ac:dyDescent="0.25">
      <c r="B110" s="72">
        <v>46182</v>
      </c>
      <c r="C110" s="73" t="s">
        <v>22</v>
      </c>
      <c r="D110" s="82" t="s">
        <v>147</v>
      </c>
      <c r="E110" s="75" t="s">
        <v>23</v>
      </c>
      <c r="F110" s="84"/>
      <c r="G110" s="77">
        <v>275000</v>
      </c>
      <c r="H110" s="78">
        <f t="shared" si="1"/>
        <v>2495487</v>
      </c>
      <c r="J110" s="80"/>
    </row>
    <row r="111" spans="2:10" ht="17.100000000000001" customHeight="1" x14ac:dyDescent="0.25">
      <c r="B111" s="72">
        <v>46183</v>
      </c>
      <c r="C111" s="73" t="s">
        <v>280</v>
      </c>
      <c r="D111" s="83" t="s">
        <v>148</v>
      </c>
      <c r="E111" s="75" t="s">
        <v>35</v>
      </c>
      <c r="F111" s="84"/>
      <c r="G111" s="77">
        <v>230000</v>
      </c>
      <c r="H111" s="78">
        <f t="shared" si="1"/>
        <v>2265487</v>
      </c>
      <c r="J111" s="80"/>
    </row>
    <row r="112" spans="2:10" ht="17.100000000000001" customHeight="1" x14ac:dyDescent="0.25">
      <c r="B112" s="72">
        <v>46183</v>
      </c>
      <c r="C112" s="73" t="s">
        <v>44</v>
      </c>
      <c r="D112" s="82" t="s">
        <v>156</v>
      </c>
      <c r="E112" s="75" t="s">
        <v>155</v>
      </c>
      <c r="F112" s="86"/>
      <c r="G112" s="77">
        <v>371000</v>
      </c>
      <c r="H112" s="78">
        <f t="shared" si="1"/>
        <v>1894487</v>
      </c>
      <c r="J112" s="80"/>
    </row>
    <row r="113" spans="2:10" ht="17.100000000000001" customHeight="1" x14ac:dyDescent="0.25">
      <c r="B113" s="72">
        <v>46183</v>
      </c>
      <c r="C113" s="73" t="s">
        <v>44</v>
      </c>
      <c r="D113" s="82" t="s">
        <v>157</v>
      </c>
      <c r="E113" s="75" t="s">
        <v>155</v>
      </c>
      <c r="F113" s="86"/>
      <c r="G113" s="77">
        <f>50000+50000+38000+40000</f>
        <v>178000</v>
      </c>
      <c r="H113" s="78">
        <f t="shared" si="1"/>
        <v>1716487</v>
      </c>
      <c r="J113" s="80"/>
    </row>
    <row r="114" spans="2:10" ht="17.100000000000001" customHeight="1" x14ac:dyDescent="0.25">
      <c r="B114" s="72">
        <v>46183</v>
      </c>
      <c r="C114" s="73" t="s">
        <v>277</v>
      </c>
      <c r="D114" s="83" t="s">
        <v>158</v>
      </c>
      <c r="E114" s="75" t="s">
        <v>155</v>
      </c>
      <c r="F114" s="86"/>
      <c r="G114" s="77">
        <v>205000</v>
      </c>
      <c r="H114" s="78">
        <f t="shared" si="1"/>
        <v>1511487</v>
      </c>
      <c r="J114" s="80"/>
    </row>
    <row r="115" spans="2:10" ht="17.100000000000001" customHeight="1" x14ac:dyDescent="0.25">
      <c r="B115" s="72">
        <v>46183</v>
      </c>
      <c r="C115" s="73" t="s">
        <v>44</v>
      </c>
      <c r="D115" s="82" t="s">
        <v>159</v>
      </c>
      <c r="E115" s="75" t="s">
        <v>155</v>
      </c>
      <c r="F115" s="84"/>
      <c r="G115" s="77">
        <v>255000</v>
      </c>
      <c r="H115" s="78">
        <f t="shared" si="1"/>
        <v>1256487</v>
      </c>
      <c r="J115" s="80"/>
    </row>
    <row r="116" spans="2:10" ht="17.100000000000001" customHeight="1" x14ac:dyDescent="0.25">
      <c r="B116" s="72">
        <v>46183</v>
      </c>
      <c r="C116" s="73" t="s">
        <v>70</v>
      </c>
      <c r="D116" s="82" t="s">
        <v>167</v>
      </c>
      <c r="E116" s="75" t="s">
        <v>160</v>
      </c>
      <c r="F116" s="84"/>
      <c r="G116" s="77">
        <v>86000</v>
      </c>
      <c r="H116" s="78">
        <f t="shared" si="1"/>
        <v>1170487</v>
      </c>
      <c r="J116" s="80"/>
    </row>
    <row r="117" spans="2:10" ht="17.100000000000001" customHeight="1" x14ac:dyDescent="0.25">
      <c r="B117" s="72">
        <v>46183</v>
      </c>
      <c r="C117" s="73" t="s">
        <v>70</v>
      </c>
      <c r="D117" s="83" t="s">
        <v>162</v>
      </c>
      <c r="E117" s="75" t="s">
        <v>161</v>
      </c>
      <c r="F117" s="84"/>
      <c r="G117" s="77">
        <v>120000</v>
      </c>
      <c r="H117" s="78">
        <f t="shared" si="1"/>
        <v>1050487</v>
      </c>
      <c r="J117" s="80"/>
    </row>
    <row r="118" spans="2:10" ht="17.100000000000001" customHeight="1" x14ac:dyDescent="0.25">
      <c r="B118" s="72">
        <v>46183</v>
      </c>
      <c r="C118" s="73" t="s">
        <v>44</v>
      </c>
      <c r="D118" s="74" t="s">
        <v>165</v>
      </c>
      <c r="E118" s="75" t="s">
        <v>161</v>
      </c>
      <c r="F118" s="84"/>
      <c r="G118" s="77">
        <v>190000</v>
      </c>
      <c r="H118" s="78">
        <f t="shared" si="1"/>
        <v>860487</v>
      </c>
      <c r="J118" s="80"/>
    </row>
    <row r="119" spans="2:10" ht="17.100000000000001" customHeight="1" x14ac:dyDescent="0.25">
      <c r="B119" s="72">
        <v>46183</v>
      </c>
      <c r="C119" s="73" t="s">
        <v>44</v>
      </c>
      <c r="D119" s="82" t="s">
        <v>164</v>
      </c>
      <c r="E119" s="75" t="s">
        <v>161</v>
      </c>
      <c r="F119" s="84"/>
      <c r="G119" s="77">
        <v>180000</v>
      </c>
      <c r="H119" s="78">
        <f t="shared" si="1"/>
        <v>680487</v>
      </c>
      <c r="J119" s="80"/>
    </row>
    <row r="120" spans="2:10" ht="17.100000000000001" customHeight="1" x14ac:dyDescent="0.25">
      <c r="B120" s="72">
        <v>46183</v>
      </c>
      <c r="C120" s="73" t="s">
        <v>44</v>
      </c>
      <c r="D120" s="74" t="s">
        <v>163</v>
      </c>
      <c r="E120" s="75" t="s">
        <v>161</v>
      </c>
      <c r="F120" s="84"/>
      <c r="G120" s="77">
        <v>130000</v>
      </c>
      <c r="H120" s="78">
        <f t="shared" si="1"/>
        <v>550487</v>
      </c>
      <c r="J120" s="80"/>
    </row>
    <row r="121" spans="2:10" ht="17.100000000000001" customHeight="1" x14ac:dyDescent="0.25">
      <c r="B121" s="72">
        <v>46183</v>
      </c>
      <c r="C121" s="73" t="s">
        <v>283</v>
      </c>
      <c r="D121" s="83" t="s">
        <v>166</v>
      </c>
      <c r="E121" s="75" t="s">
        <v>28</v>
      </c>
      <c r="F121" s="84"/>
      <c r="G121" s="77">
        <v>76000</v>
      </c>
      <c r="H121" s="78">
        <f t="shared" si="1"/>
        <v>474487</v>
      </c>
      <c r="J121" s="80"/>
    </row>
    <row r="122" spans="2:10" ht="17.100000000000001" customHeight="1" x14ac:dyDescent="0.25">
      <c r="B122" s="72">
        <v>46183</v>
      </c>
      <c r="C122" s="73" t="s">
        <v>184</v>
      </c>
      <c r="D122" s="82" t="s">
        <v>142</v>
      </c>
      <c r="E122" s="75" t="s">
        <v>168</v>
      </c>
      <c r="F122" s="84"/>
      <c r="G122" s="77">
        <v>60000</v>
      </c>
      <c r="H122" s="78">
        <f t="shared" si="1"/>
        <v>414487</v>
      </c>
      <c r="J122" s="80"/>
    </row>
    <row r="123" spans="2:10" ht="17.100000000000001" customHeight="1" x14ac:dyDescent="0.25">
      <c r="B123" s="72">
        <v>46183</v>
      </c>
      <c r="C123" s="81" t="s">
        <v>30</v>
      </c>
      <c r="D123" s="74" t="s">
        <v>171</v>
      </c>
      <c r="E123" s="75" t="s">
        <v>32</v>
      </c>
      <c r="F123" s="84"/>
      <c r="G123" s="77">
        <v>25000</v>
      </c>
      <c r="H123" s="78">
        <f t="shared" si="1"/>
        <v>389487</v>
      </c>
      <c r="J123" s="80"/>
    </row>
    <row r="124" spans="2:10" ht="17.100000000000001" customHeight="1" x14ac:dyDescent="0.25">
      <c r="B124" s="72">
        <v>46183</v>
      </c>
      <c r="C124" s="73" t="s">
        <v>18</v>
      </c>
      <c r="D124" s="74" t="s">
        <v>173</v>
      </c>
      <c r="E124" s="75" t="s">
        <v>32</v>
      </c>
      <c r="F124" s="86"/>
      <c r="G124" s="76">
        <v>50000</v>
      </c>
      <c r="H124" s="78">
        <f t="shared" si="1"/>
        <v>339487</v>
      </c>
      <c r="J124" s="80"/>
    </row>
    <row r="125" spans="2:10" ht="17.100000000000001" customHeight="1" x14ac:dyDescent="0.25">
      <c r="B125" s="72">
        <v>46183</v>
      </c>
      <c r="C125" s="81" t="s">
        <v>19</v>
      </c>
      <c r="D125" s="82" t="s">
        <v>172</v>
      </c>
      <c r="E125" s="75" t="s">
        <v>32</v>
      </c>
      <c r="F125" s="91"/>
      <c r="G125" s="70">
        <v>50000</v>
      </c>
      <c r="H125" s="78">
        <f t="shared" si="1"/>
        <v>289487</v>
      </c>
      <c r="J125" s="80"/>
    </row>
    <row r="126" spans="2:10" ht="17.100000000000001" customHeight="1" x14ac:dyDescent="0.25">
      <c r="B126" s="72">
        <v>46183</v>
      </c>
      <c r="C126" s="73" t="s">
        <v>22</v>
      </c>
      <c r="D126" s="74" t="s">
        <v>29</v>
      </c>
      <c r="E126" s="75" t="s">
        <v>23</v>
      </c>
      <c r="F126" s="84"/>
      <c r="G126" s="77">
        <v>25000</v>
      </c>
      <c r="H126" s="78">
        <f t="shared" si="1"/>
        <v>264487</v>
      </c>
      <c r="J126" s="80"/>
    </row>
    <row r="127" spans="2:10" ht="17.100000000000001" customHeight="1" x14ac:dyDescent="0.25">
      <c r="B127" s="72">
        <v>46183</v>
      </c>
      <c r="C127" s="81" t="s">
        <v>18</v>
      </c>
      <c r="D127" s="82" t="s">
        <v>169</v>
      </c>
      <c r="E127" s="75" t="s">
        <v>23</v>
      </c>
      <c r="F127" s="84"/>
      <c r="G127" s="77">
        <v>50000</v>
      </c>
      <c r="H127" s="78">
        <f t="shared" si="1"/>
        <v>214487</v>
      </c>
      <c r="J127" s="80"/>
    </row>
    <row r="128" spans="2:10" ht="17.100000000000001" customHeight="1" x14ac:dyDescent="0.25">
      <c r="B128" s="72">
        <v>46183</v>
      </c>
      <c r="C128" s="73" t="s">
        <v>141</v>
      </c>
      <c r="D128" s="83" t="s">
        <v>170</v>
      </c>
      <c r="E128" s="75" t="s">
        <v>21</v>
      </c>
      <c r="F128" s="84"/>
      <c r="G128" s="77">
        <v>100000</v>
      </c>
      <c r="H128" s="78">
        <f t="shared" si="1"/>
        <v>114487</v>
      </c>
      <c r="J128" s="80"/>
    </row>
    <row r="129" spans="2:10" ht="17.100000000000001" customHeight="1" x14ac:dyDescent="0.25">
      <c r="B129" s="72">
        <v>46183</v>
      </c>
      <c r="C129" s="73" t="s">
        <v>185</v>
      </c>
      <c r="D129" s="82" t="s">
        <v>237</v>
      </c>
      <c r="E129" s="75" t="s">
        <v>21</v>
      </c>
      <c r="F129" s="86"/>
      <c r="G129" s="77">
        <v>30000</v>
      </c>
      <c r="H129" s="78">
        <f t="shared" si="1"/>
        <v>84487</v>
      </c>
      <c r="J129" s="80"/>
    </row>
    <row r="130" spans="2:10" ht="17.100000000000001" customHeight="1" x14ac:dyDescent="0.25">
      <c r="B130" s="72">
        <v>46183</v>
      </c>
      <c r="C130" s="81" t="s">
        <v>30</v>
      </c>
      <c r="D130" s="74" t="s">
        <v>174</v>
      </c>
      <c r="E130" s="75" t="s">
        <v>32</v>
      </c>
      <c r="F130" s="84"/>
      <c r="G130" s="77">
        <v>25000</v>
      </c>
      <c r="H130" s="78">
        <f t="shared" si="1"/>
        <v>59487</v>
      </c>
      <c r="J130" s="80"/>
    </row>
    <row r="131" spans="2:10" ht="17.100000000000001" customHeight="1" x14ac:dyDescent="0.25">
      <c r="B131" s="72">
        <v>46183</v>
      </c>
      <c r="C131" s="73" t="s">
        <v>18</v>
      </c>
      <c r="D131" s="74" t="s">
        <v>175</v>
      </c>
      <c r="E131" s="75" t="s">
        <v>32</v>
      </c>
      <c r="F131" s="84"/>
      <c r="G131" s="77">
        <v>25000</v>
      </c>
      <c r="H131" s="78">
        <f t="shared" si="1"/>
        <v>34487</v>
      </c>
      <c r="J131" s="80"/>
    </row>
    <row r="132" spans="2:10" ht="17.100000000000001" customHeight="1" x14ac:dyDescent="0.25">
      <c r="B132" s="72">
        <v>46183</v>
      </c>
      <c r="C132" s="81" t="s">
        <v>19</v>
      </c>
      <c r="D132" s="82" t="s">
        <v>176</v>
      </c>
      <c r="E132" s="75" t="s">
        <v>32</v>
      </c>
      <c r="F132" s="84"/>
      <c r="G132" s="77">
        <v>50000</v>
      </c>
      <c r="H132" s="78">
        <f t="shared" si="1"/>
        <v>-15513</v>
      </c>
      <c r="J132" s="80"/>
    </row>
    <row r="133" spans="2:10" ht="17.100000000000001" customHeight="1" x14ac:dyDescent="0.25">
      <c r="B133" s="72">
        <v>46183</v>
      </c>
      <c r="C133" s="128" t="s">
        <v>294</v>
      </c>
      <c r="D133" s="74" t="s">
        <v>177</v>
      </c>
      <c r="E133" s="75" t="s">
        <v>28</v>
      </c>
      <c r="F133" s="84"/>
      <c r="G133" s="77">
        <v>497000</v>
      </c>
      <c r="H133" s="78">
        <f t="shared" si="1"/>
        <v>-512513</v>
      </c>
      <c r="J133" s="80"/>
    </row>
    <row r="134" spans="2:10" ht="17.100000000000001" customHeight="1" x14ac:dyDescent="0.25">
      <c r="B134" s="72">
        <v>46184</v>
      </c>
      <c r="C134" s="73" t="s">
        <v>22</v>
      </c>
      <c r="D134" s="74" t="s">
        <v>29</v>
      </c>
      <c r="E134" s="75" t="s">
        <v>23</v>
      </c>
      <c r="F134" s="84"/>
      <c r="G134" s="77">
        <v>25000</v>
      </c>
      <c r="H134" s="78">
        <f t="shared" si="1"/>
        <v>-537513</v>
      </c>
      <c r="J134" s="80"/>
    </row>
    <row r="135" spans="2:10" ht="17.100000000000001" customHeight="1" x14ac:dyDescent="0.25">
      <c r="B135" s="72">
        <v>46184</v>
      </c>
      <c r="C135" s="81" t="s">
        <v>18</v>
      </c>
      <c r="D135" s="82" t="s">
        <v>24</v>
      </c>
      <c r="E135" s="75" t="s">
        <v>23</v>
      </c>
      <c r="F135" s="84"/>
      <c r="G135" s="77">
        <v>25000</v>
      </c>
      <c r="H135" s="78">
        <f t="shared" si="1"/>
        <v>-562513</v>
      </c>
      <c r="J135" s="80"/>
    </row>
    <row r="136" spans="2:10" ht="17.100000000000001" customHeight="1" x14ac:dyDescent="0.25">
      <c r="B136" s="72">
        <v>46184</v>
      </c>
      <c r="C136" s="73" t="s">
        <v>19</v>
      </c>
      <c r="D136" s="83" t="s">
        <v>119</v>
      </c>
      <c r="E136" s="75" t="s">
        <v>23</v>
      </c>
      <c r="F136" s="84"/>
      <c r="G136" s="77">
        <v>50000</v>
      </c>
      <c r="H136" s="78">
        <f t="shared" si="1"/>
        <v>-612513</v>
      </c>
      <c r="J136" s="80"/>
    </row>
    <row r="137" spans="2:10" ht="17.100000000000001" customHeight="1" x14ac:dyDescent="0.25">
      <c r="B137" s="72">
        <v>46184</v>
      </c>
      <c r="C137" s="73" t="s">
        <v>37</v>
      </c>
      <c r="D137" s="83" t="s">
        <v>127</v>
      </c>
      <c r="E137" s="75" t="s">
        <v>42</v>
      </c>
      <c r="F137" s="84"/>
      <c r="G137" s="77">
        <v>25000</v>
      </c>
      <c r="H137" s="78">
        <f t="shared" ref="H137:H205" si="2">H136+F137-G137</f>
        <v>-637513</v>
      </c>
      <c r="J137" s="80"/>
    </row>
    <row r="138" spans="2:10" ht="17.100000000000001" customHeight="1" x14ac:dyDescent="0.25">
      <c r="B138" s="72">
        <v>46184</v>
      </c>
      <c r="C138" s="73" t="s">
        <v>18</v>
      </c>
      <c r="D138" s="74" t="s">
        <v>40</v>
      </c>
      <c r="E138" s="75" t="s">
        <v>42</v>
      </c>
      <c r="F138" s="84"/>
      <c r="G138" s="77">
        <v>25000</v>
      </c>
      <c r="H138" s="78">
        <f t="shared" si="2"/>
        <v>-662513</v>
      </c>
      <c r="J138" s="80"/>
    </row>
    <row r="139" spans="2:10" ht="17.100000000000001" customHeight="1" x14ac:dyDescent="0.25">
      <c r="B139" s="72">
        <v>46184</v>
      </c>
      <c r="C139" s="81" t="s">
        <v>19</v>
      </c>
      <c r="D139" s="82" t="s">
        <v>41</v>
      </c>
      <c r="E139" s="75" t="s">
        <v>42</v>
      </c>
      <c r="F139" s="84"/>
      <c r="G139" s="77">
        <v>50000</v>
      </c>
      <c r="H139" s="78">
        <f t="shared" si="2"/>
        <v>-712513</v>
      </c>
      <c r="J139" s="80"/>
    </row>
    <row r="140" spans="2:10" ht="17.100000000000001" customHeight="1" x14ac:dyDescent="0.25">
      <c r="B140" s="72">
        <v>46184</v>
      </c>
      <c r="C140" s="81" t="s">
        <v>30</v>
      </c>
      <c r="D140" s="74" t="s">
        <v>31</v>
      </c>
      <c r="E140" s="75" t="s">
        <v>32</v>
      </c>
      <c r="F140" s="84"/>
      <c r="G140" s="77">
        <v>25000</v>
      </c>
      <c r="H140" s="78">
        <f t="shared" si="2"/>
        <v>-737513</v>
      </c>
      <c r="J140" s="80"/>
    </row>
    <row r="141" spans="2:10" ht="17.100000000000001" customHeight="1" x14ac:dyDescent="0.25">
      <c r="B141" s="72">
        <v>46184</v>
      </c>
      <c r="C141" s="73" t="s">
        <v>18</v>
      </c>
      <c r="D141" s="74" t="s">
        <v>38</v>
      </c>
      <c r="E141" s="75" t="s">
        <v>32</v>
      </c>
      <c r="F141" s="84"/>
      <c r="G141" s="77">
        <v>25000</v>
      </c>
      <c r="H141" s="78">
        <f t="shared" si="2"/>
        <v>-762513</v>
      </c>
      <c r="J141" s="80"/>
    </row>
    <row r="142" spans="2:10" ht="17.100000000000001" customHeight="1" x14ac:dyDescent="0.25">
      <c r="B142" s="72">
        <v>46184</v>
      </c>
      <c r="C142" s="81" t="s">
        <v>19</v>
      </c>
      <c r="D142" s="82" t="s">
        <v>178</v>
      </c>
      <c r="E142" s="75" t="s">
        <v>32</v>
      </c>
      <c r="F142" s="84"/>
      <c r="G142" s="77">
        <v>50000</v>
      </c>
      <c r="H142" s="78">
        <f t="shared" si="2"/>
        <v>-812513</v>
      </c>
      <c r="J142" s="80"/>
    </row>
    <row r="143" spans="2:10" ht="17.100000000000001" customHeight="1" x14ac:dyDescent="0.25">
      <c r="B143" s="72">
        <v>46184</v>
      </c>
      <c r="C143" s="73" t="s">
        <v>57</v>
      </c>
      <c r="D143" s="74" t="s">
        <v>179</v>
      </c>
      <c r="E143" s="75" t="s">
        <v>180</v>
      </c>
      <c r="F143" s="84"/>
      <c r="G143" s="77">
        <v>25000</v>
      </c>
      <c r="H143" s="78">
        <f t="shared" si="2"/>
        <v>-837513</v>
      </c>
      <c r="J143" s="80"/>
    </row>
    <row r="144" spans="2:10" ht="17.100000000000001" customHeight="1" x14ac:dyDescent="0.25">
      <c r="B144" s="72">
        <v>46185</v>
      </c>
      <c r="C144" s="81" t="s">
        <v>30</v>
      </c>
      <c r="D144" s="74" t="s">
        <v>31</v>
      </c>
      <c r="E144" s="75" t="s">
        <v>32</v>
      </c>
      <c r="F144" s="84"/>
      <c r="G144" s="77">
        <v>25000</v>
      </c>
      <c r="H144" s="78">
        <f t="shared" si="2"/>
        <v>-862513</v>
      </c>
      <c r="J144" s="80"/>
    </row>
    <row r="145" spans="1:10" ht="17.100000000000001" customHeight="1" x14ac:dyDescent="0.25">
      <c r="B145" s="72">
        <v>46185</v>
      </c>
      <c r="C145" s="73" t="s">
        <v>18</v>
      </c>
      <c r="D145" s="74" t="s">
        <v>38</v>
      </c>
      <c r="E145" s="75" t="s">
        <v>32</v>
      </c>
      <c r="F145" s="84"/>
      <c r="G145" s="77">
        <v>25000</v>
      </c>
      <c r="H145" s="78">
        <f t="shared" si="2"/>
        <v>-887513</v>
      </c>
      <c r="J145" s="80"/>
    </row>
    <row r="146" spans="1:10" ht="17.100000000000001" customHeight="1" x14ac:dyDescent="0.25">
      <c r="B146" s="72">
        <v>46185</v>
      </c>
      <c r="C146" s="81" t="s">
        <v>19</v>
      </c>
      <c r="D146" s="82" t="s">
        <v>178</v>
      </c>
      <c r="E146" s="75" t="s">
        <v>32</v>
      </c>
      <c r="F146" s="84"/>
      <c r="G146" s="77">
        <v>50000</v>
      </c>
      <c r="H146" s="78">
        <f t="shared" si="2"/>
        <v>-937513</v>
      </c>
      <c r="J146" s="80"/>
    </row>
    <row r="147" spans="1:10" ht="17.100000000000001" customHeight="1" x14ac:dyDescent="0.25">
      <c r="B147" s="72">
        <v>46185</v>
      </c>
      <c r="C147" s="73" t="s">
        <v>37</v>
      </c>
      <c r="D147" s="83" t="s">
        <v>127</v>
      </c>
      <c r="E147" s="75" t="s">
        <v>42</v>
      </c>
      <c r="F147" s="84"/>
      <c r="G147" s="77">
        <v>25000</v>
      </c>
      <c r="H147" s="78">
        <f t="shared" si="2"/>
        <v>-962513</v>
      </c>
      <c r="J147" s="80"/>
    </row>
    <row r="148" spans="1:10" ht="17.100000000000001" customHeight="1" x14ac:dyDescent="0.25">
      <c r="B148" s="72">
        <v>46185</v>
      </c>
      <c r="C148" s="73" t="s">
        <v>18</v>
      </c>
      <c r="D148" s="74" t="s">
        <v>40</v>
      </c>
      <c r="E148" s="75" t="s">
        <v>42</v>
      </c>
      <c r="F148" s="84"/>
      <c r="G148" s="77">
        <v>25000</v>
      </c>
      <c r="H148" s="78">
        <f t="shared" si="2"/>
        <v>-987513</v>
      </c>
      <c r="J148" s="80"/>
    </row>
    <row r="149" spans="1:10" ht="17.100000000000001" customHeight="1" x14ac:dyDescent="0.25">
      <c r="B149" s="72">
        <v>46185</v>
      </c>
      <c r="C149" s="81" t="s">
        <v>19</v>
      </c>
      <c r="D149" s="82" t="s">
        <v>41</v>
      </c>
      <c r="E149" s="75" t="s">
        <v>42</v>
      </c>
      <c r="F149" s="84"/>
      <c r="G149" s="77">
        <v>50000</v>
      </c>
      <c r="H149" s="78">
        <f t="shared" si="2"/>
        <v>-1037513</v>
      </c>
      <c r="J149" s="80"/>
    </row>
    <row r="150" spans="1:10" ht="17.100000000000001" customHeight="1" x14ac:dyDescent="0.25">
      <c r="A150" s="79" t="s">
        <v>17</v>
      </c>
      <c r="B150" s="72">
        <v>46185</v>
      </c>
      <c r="C150" s="73" t="s">
        <v>141</v>
      </c>
      <c r="D150" s="74" t="s">
        <v>139</v>
      </c>
      <c r="E150" s="75" t="s">
        <v>21</v>
      </c>
      <c r="F150" s="84"/>
      <c r="G150" s="77">
        <v>25000</v>
      </c>
      <c r="H150" s="78">
        <f t="shared" si="2"/>
        <v>-1062513</v>
      </c>
      <c r="J150" s="80"/>
    </row>
    <row r="151" spans="1:10" ht="17.100000000000001" customHeight="1" x14ac:dyDescent="0.25">
      <c r="B151" s="72">
        <v>46185</v>
      </c>
      <c r="C151" s="81" t="s">
        <v>18</v>
      </c>
      <c r="D151" s="82" t="s">
        <v>140</v>
      </c>
      <c r="E151" s="75" t="s">
        <v>21</v>
      </c>
      <c r="F151" s="84"/>
      <c r="G151" s="77">
        <v>25000</v>
      </c>
      <c r="H151" s="78">
        <f t="shared" si="2"/>
        <v>-1087513</v>
      </c>
      <c r="J151" s="80"/>
    </row>
    <row r="152" spans="1:10" ht="17.100000000000001" customHeight="1" x14ac:dyDescent="0.25">
      <c r="B152" s="72">
        <v>46185</v>
      </c>
      <c r="C152" s="81" t="s">
        <v>19</v>
      </c>
      <c r="D152" s="82" t="s">
        <v>181</v>
      </c>
      <c r="E152" s="75" t="s">
        <v>21</v>
      </c>
      <c r="F152" s="84"/>
      <c r="G152" s="77">
        <v>50000</v>
      </c>
      <c r="H152" s="78">
        <f t="shared" si="2"/>
        <v>-1137513</v>
      </c>
      <c r="J152" s="80"/>
    </row>
    <row r="153" spans="1:10" ht="17.100000000000001" customHeight="1" x14ac:dyDescent="0.25">
      <c r="B153" s="72">
        <v>46186</v>
      </c>
      <c r="C153" s="73" t="s">
        <v>22</v>
      </c>
      <c r="D153" s="74" t="s">
        <v>29</v>
      </c>
      <c r="E153" s="75" t="s">
        <v>23</v>
      </c>
      <c r="F153" s="84"/>
      <c r="G153" s="77">
        <v>25000</v>
      </c>
      <c r="H153" s="78">
        <f t="shared" si="2"/>
        <v>-1162513</v>
      </c>
      <c r="J153" s="80"/>
    </row>
    <row r="154" spans="1:10" ht="17.100000000000001" customHeight="1" x14ac:dyDescent="0.25">
      <c r="B154" s="72">
        <v>46186</v>
      </c>
      <c r="C154" s="81" t="s">
        <v>18</v>
      </c>
      <c r="D154" s="82" t="s">
        <v>24</v>
      </c>
      <c r="E154" s="75" t="s">
        <v>23</v>
      </c>
      <c r="F154" s="84"/>
      <c r="G154" s="77">
        <v>25000</v>
      </c>
      <c r="H154" s="78">
        <f t="shared" si="2"/>
        <v>-1187513</v>
      </c>
      <c r="J154" s="80"/>
    </row>
    <row r="155" spans="1:10" ht="17.100000000000001" customHeight="1" x14ac:dyDescent="0.25">
      <c r="B155" s="72">
        <v>46186</v>
      </c>
      <c r="C155" s="73" t="s">
        <v>141</v>
      </c>
      <c r="D155" s="74" t="s">
        <v>139</v>
      </c>
      <c r="E155" s="75" t="s">
        <v>21</v>
      </c>
      <c r="F155" s="84"/>
      <c r="G155" s="77">
        <v>25000</v>
      </c>
      <c r="H155" s="78">
        <f t="shared" si="2"/>
        <v>-1212513</v>
      </c>
      <c r="J155" s="80"/>
    </row>
    <row r="156" spans="1:10" ht="17.100000000000001" customHeight="1" x14ac:dyDescent="0.25">
      <c r="B156" s="72">
        <v>46186</v>
      </c>
      <c r="C156" s="81" t="s">
        <v>18</v>
      </c>
      <c r="D156" s="82" t="s">
        <v>140</v>
      </c>
      <c r="E156" s="75" t="s">
        <v>21</v>
      </c>
      <c r="F156" s="84"/>
      <c r="G156" s="77">
        <v>25000</v>
      </c>
      <c r="H156" s="78">
        <f t="shared" si="2"/>
        <v>-1237513</v>
      </c>
      <c r="J156" s="80"/>
    </row>
    <row r="157" spans="1:10" ht="17.100000000000001" customHeight="1" x14ac:dyDescent="0.25">
      <c r="B157" s="72">
        <v>46186</v>
      </c>
      <c r="C157" s="73" t="s">
        <v>44</v>
      </c>
      <c r="D157" s="74" t="s">
        <v>186</v>
      </c>
      <c r="E157" s="75" t="s">
        <v>42</v>
      </c>
      <c r="F157" s="84"/>
      <c r="G157" s="77">
        <v>65000</v>
      </c>
      <c r="H157" s="78">
        <f t="shared" si="2"/>
        <v>-1302513</v>
      </c>
      <c r="J157" s="80"/>
    </row>
    <row r="158" spans="1:10" ht="17.100000000000001" customHeight="1" x14ac:dyDescent="0.25">
      <c r="B158" s="72">
        <v>46186</v>
      </c>
      <c r="C158" s="73" t="s">
        <v>141</v>
      </c>
      <c r="D158" s="82" t="s">
        <v>187</v>
      </c>
      <c r="E158" s="75" t="s">
        <v>21</v>
      </c>
      <c r="F158" s="84"/>
      <c r="G158" s="77">
        <v>100000</v>
      </c>
      <c r="H158" s="78">
        <f t="shared" si="2"/>
        <v>-1402513</v>
      </c>
      <c r="J158" s="80"/>
    </row>
    <row r="159" spans="1:10" ht="17.100000000000001" customHeight="1" x14ac:dyDescent="0.25">
      <c r="B159" s="72">
        <v>46186</v>
      </c>
      <c r="C159" s="81" t="s">
        <v>30</v>
      </c>
      <c r="D159" s="74" t="s">
        <v>31</v>
      </c>
      <c r="E159" s="75" t="s">
        <v>32</v>
      </c>
      <c r="F159" s="84"/>
      <c r="G159" s="77">
        <v>25000</v>
      </c>
      <c r="H159" s="78">
        <f t="shared" si="2"/>
        <v>-1427513</v>
      </c>
      <c r="J159" s="80"/>
    </row>
    <row r="160" spans="1:10" ht="17.100000000000001" customHeight="1" x14ac:dyDescent="0.25">
      <c r="B160" s="72">
        <v>46186</v>
      </c>
      <c r="C160" s="73" t="s">
        <v>18</v>
      </c>
      <c r="D160" s="74" t="s">
        <v>38</v>
      </c>
      <c r="E160" s="75" t="s">
        <v>32</v>
      </c>
      <c r="F160" s="84"/>
      <c r="G160" s="77">
        <v>25000</v>
      </c>
      <c r="H160" s="78">
        <f t="shared" si="2"/>
        <v>-1452513</v>
      </c>
      <c r="J160" s="80"/>
    </row>
    <row r="161" spans="2:10" ht="17.100000000000001" customHeight="1" x14ac:dyDescent="0.25">
      <c r="B161" s="65">
        <v>46189</v>
      </c>
      <c r="C161" s="66" t="s">
        <v>43</v>
      </c>
      <c r="D161" s="114" t="s">
        <v>26</v>
      </c>
      <c r="E161" s="87" t="s">
        <v>27</v>
      </c>
      <c r="F161" s="88">
        <v>7000000</v>
      </c>
      <c r="G161" s="89"/>
      <c r="H161" s="71">
        <f t="shared" si="2"/>
        <v>5547487</v>
      </c>
      <c r="J161" s="80"/>
    </row>
    <row r="162" spans="2:10" ht="17.100000000000001" customHeight="1" x14ac:dyDescent="0.25">
      <c r="B162" s="72">
        <v>46190</v>
      </c>
      <c r="C162" s="73" t="s">
        <v>141</v>
      </c>
      <c r="D162" s="74" t="s">
        <v>188</v>
      </c>
      <c r="E162" s="75" t="s">
        <v>21</v>
      </c>
      <c r="F162" s="84"/>
      <c r="G162" s="77">
        <v>25000</v>
      </c>
      <c r="H162" s="78">
        <f t="shared" si="2"/>
        <v>5522487</v>
      </c>
      <c r="J162" s="80"/>
    </row>
    <row r="163" spans="2:10" ht="17.100000000000001" customHeight="1" x14ac:dyDescent="0.25">
      <c r="B163" s="72">
        <v>46190</v>
      </c>
      <c r="C163" s="81" t="s">
        <v>18</v>
      </c>
      <c r="D163" s="82" t="s">
        <v>189</v>
      </c>
      <c r="E163" s="75" t="s">
        <v>21</v>
      </c>
      <c r="F163" s="84"/>
      <c r="G163" s="77">
        <v>50000</v>
      </c>
      <c r="H163" s="78">
        <f t="shared" si="2"/>
        <v>5472487</v>
      </c>
      <c r="J163" s="80"/>
    </row>
    <row r="164" spans="2:10" ht="17.100000000000001" customHeight="1" x14ac:dyDescent="0.25">
      <c r="B164" s="72">
        <v>46190</v>
      </c>
      <c r="C164" s="73" t="s">
        <v>22</v>
      </c>
      <c r="D164" s="74" t="s">
        <v>190</v>
      </c>
      <c r="E164" s="75" t="s">
        <v>23</v>
      </c>
      <c r="F164" s="84"/>
      <c r="G164" s="77">
        <v>25000</v>
      </c>
      <c r="H164" s="78">
        <f t="shared" si="2"/>
        <v>5447487</v>
      </c>
      <c r="J164" s="80"/>
    </row>
    <row r="165" spans="2:10" ht="17.100000000000001" customHeight="1" x14ac:dyDescent="0.25">
      <c r="B165" s="72">
        <v>46190</v>
      </c>
      <c r="C165" s="81" t="s">
        <v>18</v>
      </c>
      <c r="D165" s="82" t="s">
        <v>191</v>
      </c>
      <c r="E165" s="75" t="s">
        <v>23</v>
      </c>
      <c r="F165" s="84"/>
      <c r="G165" s="77">
        <v>25000</v>
      </c>
      <c r="H165" s="78">
        <f t="shared" si="2"/>
        <v>5422487</v>
      </c>
      <c r="J165" s="80"/>
    </row>
    <row r="166" spans="2:10" ht="17.100000000000001" customHeight="1" x14ac:dyDescent="0.25">
      <c r="B166" s="72">
        <v>46190</v>
      </c>
      <c r="C166" s="73" t="s">
        <v>277</v>
      </c>
      <c r="D166" s="83" t="s">
        <v>193</v>
      </c>
      <c r="E166" s="75" t="s">
        <v>192</v>
      </c>
      <c r="F166" s="84"/>
      <c r="G166" s="77">
        <v>166000</v>
      </c>
      <c r="H166" s="78">
        <f t="shared" si="2"/>
        <v>5256487</v>
      </c>
      <c r="J166" s="80"/>
    </row>
    <row r="167" spans="2:10" ht="17.100000000000001" customHeight="1" x14ac:dyDescent="0.25">
      <c r="B167" s="72">
        <v>46190</v>
      </c>
      <c r="C167" s="73" t="s">
        <v>70</v>
      </c>
      <c r="D167" s="82" t="s">
        <v>194</v>
      </c>
      <c r="E167" s="75" t="s">
        <v>144</v>
      </c>
      <c r="F167" s="84"/>
      <c r="G167" s="77">
        <v>60000</v>
      </c>
      <c r="H167" s="78">
        <f t="shared" si="2"/>
        <v>5196487</v>
      </c>
      <c r="J167" s="80"/>
    </row>
    <row r="168" spans="2:10" ht="17.100000000000001" customHeight="1" x14ac:dyDescent="0.25">
      <c r="B168" s="72">
        <v>46190</v>
      </c>
      <c r="C168" s="73" t="s">
        <v>70</v>
      </c>
      <c r="D168" s="83" t="s">
        <v>195</v>
      </c>
      <c r="E168" s="75" t="s">
        <v>196</v>
      </c>
      <c r="F168" s="84"/>
      <c r="G168" s="77">
        <v>85000</v>
      </c>
      <c r="H168" s="78">
        <f t="shared" si="2"/>
        <v>5111487</v>
      </c>
      <c r="J168" s="80"/>
    </row>
    <row r="169" spans="2:10" ht="17.100000000000001" customHeight="1" x14ac:dyDescent="0.25">
      <c r="B169" s="72">
        <v>46190</v>
      </c>
      <c r="C169" s="73" t="s">
        <v>22</v>
      </c>
      <c r="D169" s="74" t="s">
        <v>29</v>
      </c>
      <c r="E169" s="75" t="s">
        <v>23</v>
      </c>
      <c r="F169" s="84"/>
      <c r="G169" s="77">
        <v>25000</v>
      </c>
      <c r="H169" s="78">
        <f t="shared" si="2"/>
        <v>5086487</v>
      </c>
      <c r="J169" s="80"/>
    </row>
    <row r="170" spans="2:10" ht="17.100000000000001" customHeight="1" x14ac:dyDescent="0.25">
      <c r="B170" s="72">
        <v>46190</v>
      </c>
      <c r="C170" s="81" t="s">
        <v>18</v>
      </c>
      <c r="D170" s="82" t="s">
        <v>24</v>
      </c>
      <c r="E170" s="75" t="s">
        <v>23</v>
      </c>
      <c r="F170" s="84"/>
      <c r="G170" s="77">
        <v>25000</v>
      </c>
      <c r="H170" s="78">
        <f t="shared" si="2"/>
        <v>5061487</v>
      </c>
      <c r="J170" s="80"/>
    </row>
    <row r="171" spans="2:10" ht="17.100000000000001" customHeight="1" x14ac:dyDescent="0.25">
      <c r="B171" s="72">
        <v>46190</v>
      </c>
      <c r="C171" s="73" t="s">
        <v>19</v>
      </c>
      <c r="D171" s="83" t="s">
        <v>119</v>
      </c>
      <c r="E171" s="75" t="s">
        <v>23</v>
      </c>
      <c r="F171" s="84"/>
      <c r="G171" s="77">
        <v>50000</v>
      </c>
      <c r="H171" s="78">
        <f t="shared" si="2"/>
        <v>5011487</v>
      </c>
      <c r="J171" s="80"/>
    </row>
    <row r="172" spans="2:10" ht="17.100000000000001" customHeight="1" x14ac:dyDescent="0.25">
      <c r="B172" s="72">
        <v>46190</v>
      </c>
      <c r="C172" s="81" t="s">
        <v>297</v>
      </c>
      <c r="D172" s="74" t="s">
        <v>197</v>
      </c>
      <c r="E172" s="75" t="s">
        <v>203</v>
      </c>
      <c r="F172" s="84"/>
      <c r="G172" s="77">
        <v>25000</v>
      </c>
      <c r="H172" s="78">
        <f t="shared" si="2"/>
        <v>4986487</v>
      </c>
      <c r="J172" s="80"/>
    </row>
    <row r="173" spans="2:10" ht="17.100000000000001" customHeight="1" x14ac:dyDescent="0.25">
      <c r="B173" s="72">
        <v>46190</v>
      </c>
      <c r="C173" s="73" t="s">
        <v>18</v>
      </c>
      <c r="D173" s="74" t="s">
        <v>198</v>
      </c>
      <c r="E173" s="75" t="s">
        <v>203</v>
      </c>
      <c r="F173" s="84"/>
      <c r="G173" s="77">
        <v>25000</v>
      </c>
      <c r="H173" s="78">
        <f t="shared" si="2"/>
        <v>4961487</v>
      </c>
      <c r="J173" s="80"/>
    </row>
    <row r="174" spans="2:10" ht="17.100000000000001" customHeight="1" x14ac:dyDescent="0.25">
      <c r="B174" s="72">
        <v>46190</v>
      </c>
      <c r="C174" s="81" t="s">
        <v>19</v>
      </c>
      <c r="D174" s="82" t="s">
        <v>199</v>
      </c>
      <c r="E174" s="75" t="s">
        <v>203</v>
      </c>
      <c r="F174" s="84"/>
      <c r="G174" s="77">
        <v>50000</v>
      </c>
      <c r="H174" s="78">
        <f t="shared" si="2"/>
        <v>4911487</v>
      </c>
      <c r="J174" s="80"/>
    </row>
    <row r="175" spans="2:10" ht="17.100000000000001" customHeight="1" x14ac:dyDescent="0.25">
      <c r="B175" s="72">
        <v>46190</v>
      </c>
      <c r="C175" s="81" t="s">
        <v>30</v>
      </c>
      <c r="D175" s="74" t="s">
        <v>171</v>
      </c>
      <c r="E175" s="75" t="s">
        <v>32</v>
      </c>
      <c r="F175" s="84"/>
      <c r="G175" s="77">
        <v>25000</v>
      </c>
      <c r="H175" s="78">
        <f t="shared" si="2"/>
        <v>4886487</v>
      </c>
      <c r="J175" s="80"/>
    </row>
    <row r="176" spans="2:10" ht="17.100000000000001" customHeight="1" x14ac:dyDescent="0.25">
      <c r="B176" s="72">
        <v>46190</v>
      </c>
      <c r="C176" s="73" t="s">
        <v>18</v>
      </c>
      <c r="D176" s="74" t="s">
        <v>200</v>
      </c>
      <c r="E176" s="75" t="s">
        <v>32</v>
      </c>
      <c r="F176" s="84"/>
      <c r="G176" s="77">
        <v>25000</v>
      </c>
      <c r="H176" s="78">
        <f t="shared" si="2"/>
        <v>4861487</v>
      </c>
      <c r="J176" s="80"/>
    </row>
    <row r="177" spans="2:11" ht="17.100000000000001" customHeight="1" x14ac:dyDescent="0.25">
      <c r="B177" s="72">
        <v>46190</v>
      </c>
      <c r="C177" s="81" t="s">
        <v>19</v>
      </c>
      <c r="D177" s="82" t="s">
        <v>201</v>
      </c>
      <c r="E177" s="75" t="s">
        <v>32</v>
      </c>
      <c r="F177" s="84"/>
      <c r="G177" s="77">
        <v>50000</v>
      </c>
      <c r="H177" s="78">
        <f t="shared" si="2"/>
        <v>4811487</v>
      </c>
      <c r="J177" s="80"/>
    </row>
    <row r="178" spans="2:11" ht="17.100000000000001" customHeight="1" x14ac:dyDescent="0.25">
      <c r="B178" s="72">
        <v>46190</v>
      </c>
      <c r="C178" s="73" t="s">
        <v>37</v>
      </c>
      <c r="D178" s="83" t="s">
        <v>127</v>
      </c>
      <c r="E178" s="75" t="s">
        <v>42</v>
      </c>
      <c r="F178" s="84"/>
      <c r="G178" s="77">
        <v>25000</v>
      </c>
      <c r="H178" s="78">
        <f t="shared" si="2"/>
        <v>4786487</v>
      </c>
      <c r="J178" s="80"/>
    </row>
    <row r="179" spans="2:11" ht="17.100000000000001" customHeight="1" x14ac:dyDescent="0.25">
      <c r="B179" s="72">
        <v>46190</v>
      </c>
      <c r="C179" s="73" t="s">
        <v>18</v>
      </c>
      <c r="D179" s="74" t="s">
        <v>40</v>
      </c>
      <c r="E179" s="75" t="s">
        <v>42</v>
      </c>
      <c r="F179" s="84"/>
      <c r="G179" s="77">
        <v>25000</v>
      </c>
      <c r="H179" s="78">
        <f t="shared" si="2"/>
        <v>4761487</v>
      </c>
      <c r="J179" s="80"/>
    </row>
    <row r="180" spans="2:11" ht="17.100000000000001" customHeight="1" x14ac:dyDescent="0.25">
      <c r="B180" s="72">
        <v>46190</v>
      </c>
      <c r="C180" s="81" t="s">
        <v>19</v>
      </c>
      <c r="D180" s="82" t="s">
        <v>41</v>
      </c>
      <c r="E180" s="75" t="s">
        <v>42</v>
      </c>
      <c r="F180" s="84"/>
      <c r="G180" s="77">
        <v>50000</v>
      </c>
      <c r="H180" s="78">
        <f t="shared" si="2"/>
        <v>4711487</v>
      </c>
      <c r="J180" s="80"/>
    </row>
    <row r="181" spans="2:11" ht="17.100000000000001" customHeight="1" x14ac:dyDescent="0.25">
      <c r="B181" s="72">
        <v>46190</v>
      </c>
      <c r="C181" s="81" t="s">
        <v>30</v>
      </c>
      <c r="D181" s="74" t="s">
        <v>174</v>
      </c>
      <c r="E181" s="75" t="s">
        <v>32</v>
      </c>
      <c r="F181" s="84"/>
      <c r="G181" s="77">
        <v>25000</v>
      </c>
      <c r="H181" s="78">
        <f t="shared" si="2"/>
        <v>4686487</v>
      </c>
      <c r="J181" s="80"/>
    </row>
    <row r="182" spans="2:11" ht="17.100000000000001" customHeight="1" x14ac:dyDescent="0.25">
      <c r="B182" s="72">
        <v>46190</v>
      </c>
      <c r="C182" s="73" t="s">
        <v>18</v>
      </c>
      <c r="D182" s="74" t="s">
        <v>175</v>
      </c>
      <c r="E182" s="75" t="s">
        <v>32</v>
      </c>
      <c r="F182" s="84"/>
      <c r="G182" s="77">
        <v>25000</v>
      </c>
      <c r="H182" s="78">
        <f t="shared" si="2"/>
        <v>4661487</v>
      </c>
      <c r="J182" s="80"/>
    </row>
    <row r="183" spans="2:11" ht="17.100000000000001" customHeight="1" x14ac:dyDescent="0.25">
      <c r="B183" s="72">
        <v>46190</v>
      </c>
      <c r="C183" s="73" t="s">
        <v>44</v>
      </c>
      <c r="D183" s="74" t="s">
        <v>202</v>
      </c>
      <c r="E183" s="75" t="s">
        <v>35</v>
      </c>
      <c r="F183" s="76"/>
      <c r="G183" s="77">
        <v>87000</v>
      </c>
      <c r="H183" s="78">
        <f t="shared" si="2"/>
        <v>4574487</v>
      </c>
      <c r="J183" s="80"/>
      <c r="K183" s="80"/>
    </row>
    <row r="184" spans="2:11" ht="17.100000000000001" customHeight="1" x14ac:dyDescent="0.25">
      <c r="B184" s="72">
        <v>46190</v>
      </c>
      <c r="C184" s="125" t="s">
        <v>277</v>
      </c>
      <c r="D184" s="83" t="s">
        <v>204</v>
      </c>
      <c r="E184" s="75" t="s">
        <v>203</v>
      </c>
      <c r="F184" s="76"/>
      <c r="G184" s="77">
        <v>110000</v>
      </c>
      <c r="H184" s="78">
        <f t="shared" si="2"/>
        <v>4464487</v>
      </c>
      <c r="J184" s="80"/>
      <c r="K184" s="80"/>
    </row>
    <row r="185" spans="2:11" ht="17.100000000000001" customHeight="1" x14ac:dyDescent="0.25">
      <c r="B185" s="72">
        <v>46190</v>
      </c>
      <c r="C185" s="73" t="s">
        <v>44</v>
      </c>
      <c r="D185" s="90" t="s">
        <v>230</v>
      </c>
      <c r="E185" s="75" t="s">
        <v>20</v>
      </c>
      <c r="F185" s="84"/>
      <c r="G185" s="77">
        <f>12000*40</f>
        <v>480000</v>
      </c>
      <c r="H185" s="78">
        <f t="shared" si="2"/>
        <v>3984487</v>
      </c>
      <c r="J185" s="80"/>
      <c r="K185" s="80"/>
    </row>
    <row r="186" spans="2:11" ht="17.100000000000001" customHeight="1" x14ac:dyDescent="0.25">
      <c r="B186" s="72">
        <v>46191</v>
      </c>
      <c r="C186" s="73" t="s">
        <v>184</v>
      </c>
      <c r="D186" s="74" t="s">
        <v>205</v>
      </c>
      <c r="E186" s="75" t="s">
        <v>206</v>
      </c>
      <c r="F186" s="84"/>
      <c r="G186" s="77">
        <v>60000</v>
      </c>
      <c r="H186" s="78">
        <f t="shared" si="2"/>
        <v>3924487</v>
      </c>
      <c r="J186" s="80"/>
    </row>
    <row r="187" spans="2:11" ht="17.100000000000001" customHeight="1" x14ac:dyDescent="0.25">
      <c r="B187" s="72">
        <v>46191</v>
      </c>
      <c r="C187" s="73" t="s">
        <v>37</v>
      </c>
      <c r="D187" s="83" t="s">
        <v>127</v>
      </c>
      <c r="E187" s="75" t="s">
        <v>42</v>
      </c>
      <c r="F187" s="84"/>
      <c r="G187" s="77">
        <v>25000</v>
      </c>
      <c r="H187" s="78">
        <f t="shared" si="2"/>
        <v>3899487</v>
      </c>
      <c r="J187" s="80"/>
    </row>
    <row r="188" spans="2:11" ht="17.100000000000001" customHeight="1" x14ac:dyDescent="0.25">
      <c r="B188" s="72">
        <v>46191</v>
      </c>
      <c r="C188" s="73" t="s">
        <v>18</v>
      </c>
      <c r="D188" s="74" t="s">
        <v>40</v>
      </c>
      <c r="E188" s="75" t="s">
        <v>42</v>
      </c>
      <c r="F188" s="84"/>
      <c r="G188" s="77">
        <v>25000</v>
      </c>
      <c r="H188" s="78">
        <f t="shared" si="2"/>
        <v>3874487</v>
      </c>
      <c r="J188" s="80"/>
    </row>
    <row r="189" spans="2:11" ht="17.100000000000001" customHeight="1" x14ac:dyDescent="0.25">
      <c r="B189" s="72">
        <v>46191</v>
      </c>
      <c r="C189" s="81" t="s">
        <v>19</v>
      </c>
      <c r="D189" s="82" t="s">
        <v>41</v>
      </c>
      <c r="E189" s="75" t="s">
        <v>42</v>
      </c>
      <c r="F189" s="84"/>
      <c r="G189" s="77">
        <v>50000</v>
      </c>
      <c r="H189" s="78">
        <f t="shared" si="2"/>
        <v>3824487</v>
      </c>
      <c r="J189" s="80"/>
    </row>
    <row r="190" spans="2:11" ht="17.100000000000001" customHeight="1" x14ac:dyDescent="0.25">
      <c r="B190" s="72">
        <v>46191</v>
      </c>
      <c r="C190" s="81" t="s">
        <v>30</v>
      </c>
      <c r="D190" s="74" t="s">
        <v>31</v>
      </c>
      <c r="E190" s="75" t="s">
        <v>32</v>
      </c>
      <c r="F190" s="84"/>
      <c r="G190" s="77">
        <v>25000</v>
      </c>
      <c r="H190" s="78">
        <f t="shared" si="2"/>
        <v>3799487</v>
      </c>
      <c r="J190" s="80"/>
    </row>
    <row r="191" spans="2:11" ht="17.100000000000001" customHeight="1" x14ac:dyDescent="0.25">
      <c r="B191" s="72">
        <v>46191</v>
      </c>
      <c r="C191" s="73" t="s">
        <v>18</v>
      </c>
      <c r="D191" s="74" t="s">
        <v>38</v>
      </c>
      <c r="E191" s="75" t="s">
        <v>32</v>
      </c>
      <c r="F191" s="84"/>
      <c r="G191" s="77">
        <v>25000</v>
      </c>
      <c r="H191" s="78">
        <f t="shared" si="2"/>
        <v>3774487</v>
      </c>
      <c r="J191" s="80"/>
    </row>
    <row r="192" spans="2:11" ht="17.100000000000001" customHeight="1" x14ac:dyDescent="0.25">
      <c r="B192" s="72">
        <v>46191</v>
      </c>
      <c r="C192" s="81" t="s">
        <v>19</v>
      </c>
      <c r="D192" s="82" t="s">
        <v>178</v>
      </c>
      <c r="E192" s="75" t="s">
        <v>32</v>
      </c>
      <c r="F192" s="84"/>
      <c r="G192" s="77">
        <v>50000</v>
      </c>
      <c r="H192" s="78">
        <f t="shared" si="2"/>
        <v>3724487</v>
      </c>
      <c r="J192" s="80"/>
    </row>
    <row r="193" spans="2:10" ht="17.100000000000001" customHeight="1" x14ac:dyDescent="0.25">
      <c r="B193" s="72">
        <v>46191</v>
      </c>
      <c r="C193" s="73" t="s">
        <v>22</v>
      </c>
      <c r="D193" s="74" t="s">
        <v>29</v>
      </c>
      <c r="E193" s="75" t="s">
        <v>23</v>
      </c>
      <c r="F193" s="84"/>
      <c r="G193" s="77">
        <v>25000</v>
      </c>
      <c r="H193" s="78">
        <f t="shared" si="2"/>
        <v>3699487</v>
      </c>
      <c r="J193" s="80"/>
    </row>
    <row r="194" spans="2:10" ht="17.100000000000001" customHeight="1" x14ac:dyDescent="0.25">
      <c r="B194" s="72">
        <v>46191</v>
      </c>
      <c r="C194" s="81" t="s">
        <v>18</v>
      </c>
      <c r="D194" s="82" t="s">
        <v>24</v>
      </c>
      <c r="E194" s="75" t="s">
        <v>23</v>
      </c>
      <c r="F194" s="84"/>
      <c r="G194" s="77">
        <v>25000</v>
      </c>
      <c r="H194" s="78">
        <f t="shared" si="2"/>
        <v>3674487</v>
      </c>
      <c r="J194" s="80"/>
    </row>
    <row r="195" spans="2:10" ht="17.100000000000001" customHeight="1" x14ac:dyDescent="0.25">
      <c r="B195" s="72">
        <v>46191</v>
      </c>
      <c r="C195" s="73" t="s">
        <v>19</v>
      </c>
      <c r="D195" s="83" t="s">
        <v>119</v>
      </c>
      <c r="E195" s="75" t="s">
        <v>23</v>
      </c>
      <c r="F195" s="84"/>
      <c r="G195" s="77">
        <v>50000</v>
      </c>
      <c r="H195" s="78">
        <f t="shared" si="2"/>
        <v>3624487</v>
      </c>
      <c r="J195" s="80"/>
    </row>
    <row r="196" spans="2:10" ht="17.100000000000001" customHeight="1" x14ac:dyDescent="0.25">
      <c r="B196" s="72">
        <v>46191</v>
      </c>
      <c r="C196" s="81" t="s">
        <v>47</v>
      </c>
      <c r="D196" s="74" t="s">
        <v>207</v>
      </c>
      <c r="E196" s="75" t="s">
        <v>203</v>
      </c>
      <c r="F196" s="84"/>
      <c r="G196" s="77">
        <v>25000</v>
      </c>
      <c r="H196" s="78">
        <f t="shared" si="2"/>
        <v>3599487</v>
      </c>
      <c r="J196" s="80"/>
    </row>
    <row r="197" spans="2:10" ht="17.100000000000001" customHeight="1" x14ac:dyDescent="0.25">
      <c r="B197" s="72">
        <v>46191</v>
      </c>
      <c r="C197" s="73" t="s">
        <v>18</v>
      </c>
      <c r="D197" s="74" t="s">
        <v>46</v>
      </c>
      <c r="E197" s="75" t="s">
        <v>203</v>
      </c>
      <c r="F197" s="84"/>
      <c r="G197" s="77">
        <v>25000</v>
      </c>
      <c r="H197" s="78">
        <f t="shared" si="2"/>
        <v>3574487</v>
      </c>
      <c r="J197" s="80"/>
    </row>
    <row r="198" spans="2:10" ht="17.100000000000001" customHeight="1" x14ac:dyDescent="0.25">
      <c r="B198" s="72">
        <v>46191</v>
      </c>
      <c r="C198" s="81" t="s">
        <v>19</v>
      </c>
      <c r="D198" s="82" t="s">
        <v>208</v>
      </c>
      <c r="E198" s="75" t="s">
        <v>203</v>
      </c>
      <c r="F198" s="84"/>
      <c r="G198" s="77">
        <v>50000</v>
      </c>
      <c r="H198" s="78">
        <f t="shared" si="2"/>
        <v>3524487</v>
      </c>
      <c r="J198" s="80"/>
    </row>
    <row r="199" spans="2:10" ht="17.100000000000001" customHeight="1" x14ac:dyDescent="0.25">
      <c r="B199" s="72">
        <v>46191</v>
      </c>
      <c r="C199" s="73" t="s">
        <v>295</v>
      </c>
      <c r="D199" s="82" t="s">
        <v>273</v>
      </c>
      <c r="E199" s="75" t="s">
        <v>27</v>
      </c>
      <c r="F199" s="84"/>
      <c r="G199" s="77">
        <v>128690</v>
      </c>
      <c r="H199" s="78">
        <f t="shared" si="2"/>
        <v>3395797</v>
      </c>
      <c r="J199" s="80"/>
    </row>
    <row r="200" spans="2:10" ht="17.100000000000001" customHeight="1" x14ac:dyDescent="0.25">
      <c r="B200" s="72">
        <v>46192</v>
      </c>
      <c r="C200" s="73" t="s">
        <v>52</v>
      </c>
      <c r="D200" s="82" t="s">
        <v>51</v>
      </c>
      <c r="E200" s="75" t="s">
        <v>36</v>
      </c>
      <c r="F200" s="84"/>
      <c r="G200" s="77">
        <v>498500</v>
      </c>
      <c r="H200" s="78">
        <f t="shared" si="2"/>
        <v>2897297</v>
      </c>
      <c r="J200" s="80"/>
    </row>
    <row r="201" spans="2:10" ht="17.100000000000001" customHeight="1" x14ac:dyDescent="0.25">
      <c r="B201" s="72">
        <v>46192</v>
      </c>
      <c r="C201" s="73" t="s">
        <v>44</v>
      </c>
      <c r="D201" s="83" t="s">
        <v>279</v>
      </c>
      <c r="E201" s="75" t="s">
        <v>160</v>
      </c>
      <c r="F201" s="84"/>
      <c r="G201" s="77">
        <v>49000</v>
      </c>
      <c r="H201" s="78">
        <f t="shared" si="2"/>
        <v>2848297</v>
      </c>
      <c r="J201" s="80"/>
    </row>
    <row r="202" spans="2:10" ht="17.100000000000001" customHeight="1" x14ac:dyDescent="0.25">
      <c r="B202" s="72">
        <v>46192</v>
      </c>
      <c r="C202" s="73" t="s">
        <v>44</v>
      </c>
      <c r="D202" s="82" t="s">
        <v>209</v>
      </c>
      <c r="E202" s="75" t="s">
        <v>20</v>
      </c>
      <c r="F202" s="84"/>
      <c r="G202" s="77">
        <v>180000</v>
      </c>
      <c r="H202" s="78">
        <f t="shared" si="2"/>
        <v>2668297</v>
      </c>
      <c r="J202" s="80"/>
    </row>
    <row r="203" spans="2:10" ht="17.100000000000001" customHeight="1" x14ac:dyDescent="0.25">
      <c r="B203" s="72">
        <v>46192</v>
      </c>
      <c r="C203" s="73" t="s">
        <v>44</v>
      </c>
      <c r="D203" s="83" t="s">
        <v>210</v>
      </c>
      <c r="E203" s="75" t="s">
        <v>20</v>
      </c>
      <c r="F203" s="84"/>
      <c r="G203" s="77">
        <v>60000</v>
      </c>
      <c r="H203" s="78">
        <f t="shared" si="2"/>
        <v>2608297</v>
      </c>
      <c r="J203" s="80"/>
    </row>
    <row r="204" spans="2:10" ht="17.100000000000001" customHeight="1" x14ac:dyDescent="0.25">
      <c r="B204" s="72">
        <v>46192</v>
      </c>
      <c r="C204" s="81" t="s">
        <v>141</v>
      </c>
      <c r="D204" s="74" t="s">
        <v>211</v>
      </c>
      <c r="E204" s="75" t="s">
        <v>105</v>
      </c>
      <c r="F204" s="84"/>
      <c r="G204" s="77">
        <v>100000</v>
      </c>
      <c r="H204" s="78">
        <f t="shared" si="2"/>
        <v>2508297</v>
      </c>
      <c r="J204" s="80"/>
    </row>
    <row r="205" spans="2:10" ht="17.100000000000001" customHeight="1" x14ac:dyDescent="0.25">
      <c r="B205" s="72">
        <v>46192</v>
      </c>
      <c r="C205" s="73" t="s">
        <v>185</v>
      </c>
      <c r="D205" s="82" t="s">
        <v>237</v>
      </c>
      <c r="E205" s="75" t="s">
        <v>105</v>
      </c>
      <c r="F205" s="84"/>
      <c r="G205" s="77">
        <v>30000</v>
      </c>
      <c r="H205" s="78">
        <f t="shared" si="2"/>
        <v>2478297</v>
      </c>
      <c r="J205" s="80"/>
    </row>
    <row r="206" spans="2:10" ht="17.100000000000001" customHeight="1" x14ac:dyDescent="0.25">
      <c r="B206" s="72">
        <v>46192</v>
      </c>
      <c r="C206" s="73" t="s">
        <v>37</v>
      </c>
      <c r="D206" s="83" t="s">
        <v>212</v>
      </c>
      <c r="E206" s="75" t="s">
        <v>42</v>
      </c>
      <c r="F206" s="84"/>
      <c r="G206" s="77">
        <v>25000</v>
      </c>
      <c r="H206" s="78">
        <f t="shared" ref="H206:H269" si="3">H205+F206-G206</f>
        <v>2453297</v>
      </c>
      <c r="J206" s="80"/>
    </row>
    <row r="207" spans="2:10" ht="17.100000000000001" customHeight="1" x14ac:dyDescent="0.25">
      <c r="B207" s="72">
        <v>46192</v>
      </c>
      <c r="C207" s="73" t="s">
        <v>18</v>
      </c>
      <c r="D207" s="74" t="s">
        <v>213</v>
      </c>
      <c r="E207" s="75" t="s">
        <v>42</v>
      </c>
      <c r="F207" s="84"/>
      <c r="G207" s="77">
        <v>25000</v>
      </c>
      <c r="H207" s="78">
        <f t="shared" si="3"/>
        <v>2428297</v>
      </c>
      <c r="J207" s="80"/>
    </row>
    <row r="208" spans="2:10" ht="17.100000000000001" customHeight="1" x14ac:dyDescent="0.25">
      <c r="B208" s="72">
        <v>46192</v>
      </c>
      <c r="C208" s="81" t="s">
        <v>19</v>
      </c>
      <c r="D208" s="82" t="s">
        <v>214</v>
      </c>
      <c r="E208" s="75" t="s">
        <v>42</v>
      </c>
      <c r="F208" s="84"/>
      <c r="G208" s="77">
        <v>50000</v>
      </c>
      <c r="H208" s="78">
        <f t="shared" si="3"/>
        <v>2378297</v>
      </c>
      <c r="J208" s="80"/>
    </row>
    <row r="209" spans="2:10" ht="17.100000000000001" customHeight="1" x14ac:dyDescent="0.25">
      <c r="B209" s="72">
        <v>46192</v>
      </c>
      <c r="C209" s="81" t="s">
        <v>30</v>
      </c>
      <c r="D209" s="74" t="s">
        <v>31</v>
      </c>
      <c r="E209" s="75" t="s">
        <v>32</v>
      </c>
      <c r="F209" s="84"/>
      <c r="G209" s="77">
        <v>25000</v>
      </c>
      <c r="H209" s="78">
        <f t="shared" si="3"/>
        <v>2353297</v>
      </c>
      <c r="J209" s="80"/>
    </row>
    <row r="210" spans="2:10" ht="17.100000000000001" customHeight="1" x14ac:dyDescent="0.25">
      <c r="B210" s="72">
        <v>46192</v>
      </c>
      <c r="C210" s="73" t="s">
        <v>18</v>
      </c>
      <c r="D210" s="74" t="s">
        <v>38</v>
      </c>
      <c r="E210" s="75" t="s">
        <v>32</v>
      </c>
      <c r="F210" s="84"/>
      <c r="G210" s="77">
        <v>25000</v>
      </c>
      <c r="H210" s="78">
        <f t="shared" si="3"/>
        <v>2328297</v>
      </c>
      <c r="J210" s="80"/>
    </row>
    <row r="211" spans="2:10" ht="17.100000000000001" customHeight="1" x14ac:dyDescent="0.25">
      <c r="B211" s="72">
        <v>46192</v>
      </c>
      <c r="C211" s="81" t="s">
        <v>19</v>
      </c>
      <c r="D211" s="82" t="s">
        <v>178</v>
      </c>
      <c r="E211" s="75" t="s">
        <v>32</v>
      </c>
      <c r="F211" s="84"/>
      <c r="G211" s="77">
        <v>50000</v>
      </c>
      <c r="H211" s="78">
        <f t="shared" si="3"/>
        <v>2278297</v>
      </c>
      <c r="J211" s="80"/>
    </row>
    <row r="212" spans="2:10" ht="17.100000000000001" customHeight="1" x14ac:dyDescent="0.25">
      <c r="B212" s="72">
        <v>46192</v>
      </c>
      <c r="C212" s="81" t="s">
        <v>47</v>
      </c>
      <c r="D212" s="74" t="s">
        <v>207</v>
      </c>
      <c r="E212" s="75" t="s">
        <v>203</v>
      </c>
      <c r="F212" s="84"/>
      <c r="G212" s="77">
        <v>25000</v>
      </c>
      <c r="H212" s="78">
        <f t="shared" si="3"/>
        <v>2253297</v>
      </c>
      <c r="J212" s="80"/>
    </row>
    <row r="213" spans="2:10" ht="17.100000000000001" customHeight="1" x14ac:dyDescent="0.25">
      <c r="B213" s="72">
        <v>46192</v>
      </c>
      <c r="C213" s="73" t="s">
        <v>18</v>
      </c>
      <c r="D213" s="74" t="s">
        <v>46</v>
      </c>
      <c r="E213" s="75" t="s">
        <v>203</v>
      </c>
      <c r="F213" s="84"/>
      <c r="G213" s="77">
        <v>25000</v>
      </c>
      <c r="H213" s="78">
        <f t="shared" si="3"/>
        <v>2228297</v>
      </c>
      <c r="J213" s="80"/>
    </row>
    <row r="214" spans="2:10" ht="17.100000000000001" customHeight="1" x14ac:dyDescent="0.25">
      <c r="B214" s="72">
        <v>46192</v>
      </c>
      <c r="C214" s="81" t="s">
        <v>19</v>
      </c>
      <c r="D214" s="82" t="s">
        <v>208</v>
      </c>
      <c r="E214" s="75" t="s">
        <v>203</v>
      </c>
      <c r="F214" s="84"/>
      <c r="G214" s="77">
        <v>50000</v>
      </c>
      <c r="H214" s="78">
        <f t="shared" si="3"/>
        <v>2178297</v>
      </c>
      <c r="J214" s="80"/>
    </row>
    <row r="215" spans="2:10" ht="17.100000000000001" customHeight="1" x14ac:dyDescent="0.25">
      <c r="B215" s="72">
        <v>46192</v>
      </c>
      <c r="C215" s="81" t="s">
        <v>19</v>
      </c>
      <c r="D215" s="82" t="s">
        <v>215</v>
      </c>
      <c r="E215" s="75" t="s">
        <v>42</v>
      </c>
      <c r="F215" s="84"/>
      <c r="G215" s="77">
        <v>50000</v>
      </c>
      <c r="H215" s="78">
        <f t="shared" si="3"/>
        <v>2128297</v>
      </c>
      <c r="J215" s="80"/>
    </row>
    <row r="216" spans="2:10" ht="17.100000000000001" customHeight="1" x14ac:dyDescent="0.25">
      <c r="B216" s="72">
        <v>46192</v>
      </c>
      <c r="C216" s="73" t="s">
        <v>22</v>
      </c>
      <c r="D216" s="74" t="s">
        <v>29</v>
      </c>
      <c r="E216" s="75" t="s">
        <v>23</v>
      </c>
      <c r="F216" s="84"/>
      <c r="G216" s="77">
        <v>25000</v>
      </c>
      <c r="H216" s="78">
        <f t="shared" si="3"/>
        <v>2103297</v>
      </c>
      <c r="J216" s="80"/>
    </row>
    <row r="217" spans="2:10" ht="17.100000000000001" customHeight="1" x14ac:dyDescent="0.25">
      <c r="B217" s="72">
        <v>46192</v>
      </c>
      <c r="C217" s="81" t="s">
        <v>18</v>
      </c>
      <c r="D217" s="82" t="s">
        <v>24</v>
      </c>
      <c r="E217" s="75" t="s">
        <v>23</v>
      </c>
      <c r="F217" s="84"/>
      <c r="G217" s="77">
        <v>25000</v>
      </c>
      <c r="H217" s="78">
        <f t="shared" si="3"/>
        <v>2078297</v>
      </c>
      <c r="J217" s="80"/>
    </row>
    <row r="218" spans="2:10" ht="17.100000000000001" customHeight="1" x14ac:dyDescent="0.25">
      <c r="B218" s="72">
        <v>46192</v>
      </c>
      <c r="C218" s="73" t="s">
        <v>19</v>
      </c>
      <c r="D218" s="83" t="s">
        <v>119</v>
      </c>
      <c r="E218" s="75" t="s">
        <v>23</v>
      </c>
      <c r="F218" s="84"/>
      <c r="G218" s="77">
        <v>50000</v>
      </c>
      <c r="H218" s="78">
        <f t="shared" si="3"/>
        <v>2028297</v>
      </c>
      <c r="J218" s="80"/>
    </row>
    <row r="219" spans="2:10" ht="17.100000000000001" customHeight="1" x14ac:dyDescent="0.25">
      <c r="B219" s="72">
        <v>46192</v>
      </c>
      <c r="C219" s="127" t="s">
        <v>290</v>
      </c>
      <c r="D219" s="90" t="s">
        <v>134</v>
      </c>
      <c r="E219" s="75" t="s">
        <v>28</v>
      </c>
      <c r="F219" s="84"/>
      <c r="G219" s="77">
        <v>13000</v>
      </c>
      <c r="H219" s="78">
        <f t="shared" si="3"/>
        <v>2015297</v>
      </c>
      <c r="J219" s="80"/>
    </row>
    <row r="220" spans="2:10" ht="17.100000000000001" customHeight="1" x14ac:dyDescent="0.25">
      <c r="B220" s="72">
        <v>46192</v>
      </c>
      <c r="C220" s="127" t="s">
        <v>291</v>
      </c>
      <c r="D220" s="90" t="s">
        <v>227</v>
      </c>
      <c r="E220" s="75" t="s">
        <v>28</v>
      </c>
      <c r="F220" s="84"/>
      <c r="G220" s="77">
        <v>150000</v>
      </c>
      <c r="H220" s="78">
        <f t="shared" si="3"/>
        <v>1865297</v>
      </c>
      <c r="J220" s="80"/>
    </row>
    <row r="221" spans="2:10" ht="17.100000000000001" customHeight="1" x14ac:dyDescent="0.25">
      <c r="B221" s="72">
        <v>46192</v>
      </c>
      <c r="C221" s="127" t="s">
        <v>286</v>
      </c>
      <c r="D221" s="90" t="s">
        <v>228</v>
      </c>
      <c r="E221" s="75" t="s">
        <v>28</v>
      </c>
      <c r="F221" s="84"/>
      <c r="G221" s="77">
        <v>50000</v>
      </c>
      <c r="H221" s="78">
        <f t="shared" si="3"/>
        <v>1815297</v>
      </c>
      <c r="J221" s="80"/>
    </row>
    <row r="222" spans="2:10" ht="17.100000000000001" customHeight="1" x14ac:dyDescent="0.25">
      <c r="B222" s="72">
        <v>46192</v>
      </c>
      <c r="C222" s="127" t="s">
        <v>290</v>
      </c>
      <c r="D222" s="90" t="s">
        <v>229</v>
      </c>
      <c r="E222" s="75" t="s">
        <v>28</v>
      </c>
      <c r="F222" s="84"/>
      <c r="G222" s="77">
        <v>215000</v>
      </c>
      <c r="H222" s="78">
        <f t="shared" si="3"/>
        <v>1600297</v>
      </c>
      <c r="J222" s="80"/>
    </row>
    <row r="223" spans="2:10" ht="17.100000000000001" customHeight="1" x14ac:dyDescent="0.25">
      <c r="B223" s="72">
        <v>46192</v>
      </c>
      <c r="C223" s="125" t="s">
        <v>70</v>
      </c>
      <c r="D223" s="90" t="s">
        <v>231</v>
      </c>
      <c r="E223" s="75" t="s">
        <v>20</v>
      </c>
      <c r="F223" s="84"/>
      <c r="G223" s="77">
        <v>50000</v>
      </c>
      <c r="H223" s="78">
        <f t="shared" si="3"/>
        <v>1550297</v>
      </c>
      <c r="J223" s="80"/>
    </row>
    <row r="224" spans="2:10" ht="17.100000000000001" customHeight="1" x14ac:dyDescent="0.25">
      <c r="B224" s="72">
        <v>46193</v>
      </c>
      <c r="C224" s="81" t="s">
        <v>30</v>
      </c>
      <c r="D224" s="74" t="s">
        <v>31</v>
      </c>
      <c r="E224" s="75" t="s">
        <v>32</v>
      </c>
      <c r="F224" s="84"/>
      <c r="G224" s="77">
        <v>25000</v>
      </c>
      <c r="H224" s="78">
        <f t="shared" si="3"/>
        <v>1525297</v>
      </c>
      <c r="J224" s="80"/>
    </row>
    <row r="225" spans="2:10" ht="17.100000000000001" customHeight="1" x14ac:dyDescent="0.25">
      <c r="B225" s="72">
        <v>46193</v>
      </c>
      <c r="C225" s="73" t="s">
        <v>18</v>
      </c>
      <c r="D225" s="74" t="s">
        <v>38</v>
      </c>
      <c r="E225" s="75" t="s">
        <v>32</v>
      </c>
      <c r="F225" s="84"/>
      <c r="G225" s="77">
        <v>25000</v>
      </c>
      <c r="H225" s="78">
        <f t="shared" si="3"/>
        <v>1500297</v>
      </c>
      <c r="J225" s="80"/>
    </row>
    <row r="226" spans="2:10" ht="17.100000000000001" customHeight="1" x14ac:dyDescent="0.25">
      <c r="B226" s="72">
        <v>46193</v>
      </c>
      <c r="C226" s="81" t="s">
        <v>19</v>
      </c>
      <c r="D226" s="82" t="s">
        <v>178</v>
      </c>
      <c r="E226" s="75" t="s">
        <v>32</v>
      </c>
      <c r="F226" s="84"/>
      <c r="G226" s="77">
        <v>50000</v>
      </c>
      <c r="H226" s="78">
        <f t="shared" si="3"/>
        <v>1450297</v>
      </c>
      <c r="J226" s="80"/>
    </row>
    <row r="227" spans="2:10" ht="17.100000000000001" customHeight="1" x14ac:dyDescent="0.25">
      <c r="B227" s="72">
        <v>46193</v>
      </c>
      <c r="C227" s="81" t="s">
        <v>47</v>
      </c>
      <c r="D227" s="74" t="s">
        <v>216</v>
      </c>
      <c r="E227" s="75" t="s">
        <v>21</v>
      </c>
      <c r="F227" s="84"/>
      <c r="G227" s="77">
        <v>25000</v>
      </c>
      <c r="H227" s="78">
        <f t="shared" si="3"/>
        <v>1425297</v>
      </c>
      <c r="J227" s="80"/>
    </row>
    <row r="228" spans="2:10" ht="17.100000000000001" customHeight="1" x14ac:dyDescent="0.25">
      <c r="B228" s="72">
        <v>46193</v>
      </c>
      <c r="C228" s="73" t="s">
        <v>18</v>
      </c>
      <c r="D228" s="74" t="s">
        <v>46</v>
      </c>
      <c r="E228" s="75" t="s">
        <v>21</v>
      </c>
      <c r="F228" s="84"/>
      <c r="G228" s="77">
        <v>25000</v>
      </c>
      <c r="H228" s="78">
        <f t="shared" si="3"/>
        <v>1400297</v>
      </c>
      <c r="J228" s="80"/>
    </row>
    <row r="229" spans="2:10" ht="17.100000000000001" customHeight="1" x14ac:dyDescent="0.25">
      <c r="B229" s="72">
        <v>46193</v>
      </c>
      <c r="C229" s="81" t="s">
        <v>19</v>
      </c>
      <c r="D229" s="82" t="s">
        <v>208</v>
      </c>
      <c r="E229" s="75" t="s">
        <v>21</v>
      </c>
      <c r="F229" s="84"/>
      <c r="G229" s="77">
        <v>50000</v>
      </c>
      <c r="H229" s="78">
        <f t="shared" si="3"/>
        <v>1350297</v>
      </c>
      <c r="J229" s="80"/>
    </row>
    <row r="230" spans="2:10" ht="17.100000000000001" customHeight="1" x14ac:dyDescent="0.25">
      <c r="B230" s="72">
        <v>46193</v>
      </c>
      <c r="C230" s="73" t="s">
        <v>22</v>
      </c>
      <c r="D230" s="74" t="s">
        <v>29</v>
      </c>
      <c r="E230" s="75" t="s">
        <v>23</v>
      </c>
      <c r="F230" s="84"/>
      <c r="G230" s="77">
        <v>25000</v>
      </c>
      <c r="H230" s="78">
        <f t="shared" si="3"/>
        <v>1325297</v>
      </c>
      <c r="J230" s="80"/>
    </row>
    <row r="231" spans="2:10" ht="17.100000000000001" customHeight="1" x14ac:dyDescent="0.25">
      <c r="B231" s="72">
        <v>46193</v>
      </c>
      <c r="C231" s="81" t="s">
        <v>18</v>
      </c>
      <c r="D231" s="82" t="s">
        <v>24</v>
      </c>
      <c r="E231" s="75" t="s">
        <v>23</v>
      </c>
      <c r="F231" s="84"/>
      <c r="G231" s="77">
        <v>25000</v>
      </c>
      <c r="H231" s="78">
        <f t="shared" si="3"/>
        <v>1300297</v>
      </c>
      <c r="J231" s="80"/>
    </row>
    <row r="232" spans="2:10" ht="17.100000000000001" customHeight="1" x14ac:dyDescent="0.25">
      <c r="B232" s="72">
        <v>46193</v>
      </c>
      <c r="C232" s="73" t="s">
        <v>37</v>
      </c>
      <c r="D232" s="83" t="s">
        <v>212</v>
      </c>
      <c r="E232" s="75" t="s">
        <v>42</v>
      </c>
      <c r="F232" s="84"/>
      <c r="G232" s="77">
        <v>25000</v>
      </c>
      <c r="H232" s="78">
        <f t="shared" si="3"/>
        <v>1275297</v>
      </c>
      <c r="J232" s="80"/>
    </row>
    <row r="233" spans="2:10" ht="17.100000000000001" customHeight="1" x14ac:dyDescent="0.25">
      <c r="B233" s="72">
        <v>46193</v>
      </c>
      <c r="C233" s="73" t="s">
        <v>18</v>
      </c>
      <c r="D233" s="74" t="s">
        <v>213</v>
      </c>
      <c r="E233" s="75" t="s">
        <v>42</v>
      </c>
      <c r="F233" s="84"/>
      <c r="G233" s="77">
        <v>25000</v>
      </c>
      <c r="H233" s="78">
        <f t="shared" si="3"/>
        <v>1250297</v>
      </c>
      <c r="J233" s="80"/>
    </row>
    <row r="234" spans="2:10" ht="17.100000000000001" customHeight="1" x14ac:dyDescent="0.25">
      <c r="B234" s="72">
        <v>46193</v>
      </c>
      <c r="C234" s="81" t="s">
        <v>19</v>
      </c>
      <c r="D234" s="82" t="s">
        <v>214</v>
      </c>
      <c r="E234" s="75" t="s">
        <v>42</v>
      </c>
      <c r="F234" s="84"/>
      <c r="G234" s="77">
        <v>50000</v>
      </c>
      <c r="H234" s="78">
        <f t="shared" si="3"/>
        <v>1200297</v>
      </c>
      <c r="J234" s="80"/>
    </row>
    <row r="235" spans="2:10" ht="17.100000000000001" customHeight="1" x14ac:dyDescent="0.25">
      <c r="B235" s="72">
        <v>46193</v>
      </c>
      <c r="C235" s="125" t="s">
        <v>57</v>
      </c>
      <c r="D235" s="111" t="s">
        <v>235</v>
      </c>
      <c r="E235" s="75" t="s">
        <v>236</v>
      </c>
      <c r="F235" s="84"/>
      <c r="G235" s="77">
        <v>40000</v>
      </c>
      <c r="H235" s="78">
        <f t="shared" si="3"/>
        <v>1160297</v>
      </c>
      <c r="J235" s="80"/>
    </row>
    <row r="236" spans="2:10" ht="17.100000000000001" customHeight="1" x14ac:dyDescent="0.25">
      <c r="B236" s="72">
        <v>46194</v>
      </c>
      <c r="C236" s="73" t="s">
        <v>37</v>
      </c>
      <c r="D236" s="83" t="s">
        <v>39</v>
      </c>
      <c r="E236" s="75" t="s">
        <v>42</v>
      </c>
      <c r="F236" s="84"/>
      <c r="G236" s="77">
        <v>25000</v>
      </c>
      <c r="H236" s="78">
        <f t="shared" si="3"/>
        <v>1135297</v>
      </c>
      <c r="J236" s="80"/>
    </row>
    <row r="237" spans="2:10" ht="17.100000000000001" customHeight="1" x14ac:dyDescent="0.25">
      <c r="B237" s="72">
        <v>46194</v>
      </c>
      <c r="C237" s="73" t="s">
        <v>18</v>
      </c>
      <c r="D237" s="74" t="s">
        <v>232</v>
      </c>
      <c r="E237" s="75" t="s">
        <v>42</v>
      </c>
      <c r="F237" s="84"/>
      <c r="G237" s="77">
        <v>25000</v>
      </c>
      <c r="H237" s="78">
        <f t="shared" si="3"/>
        <v>1110297</v>
      </c>
      <c r="J237" s="80"/>
    </row>
    <row r="238" spans="2:10" ht="17.100000000000001" customHeight="1" x14ac:dyDescent="0.25">
      <c r="B238" s="72">
        <v>46194</v>
      </c>
      <c r="C238" s="81" t="s">
        <v>19</v>
      </c>
      <c r="D238" s="82" t="s">
        <v>41</v>
      </c>
      <c r="E238" s="75" t="s">
        <v>42</v>
      </c>
      <c r="F238" s="84"/>
      <c r="G238" s="77">
        <v>50000</v>
      </c>
      <c r="H238" s="78">
        <f t="shared" si="3"/>
        <v>1060297</v>
      </c>
      <c r="J238" s="80"/>
    </row>
    <row r="239" spans="2:10" ht="17.100000000000001" customHeight="1" x14ac:dyDescent="0.25">
      <c r="B239" s="72">
        <v>46195</v>
      </c>
      <c r="C239" s="81" t="s">
        <v>296</v>
      </c>
      <c r="D239" s="74" t="s">
        <v>217</v>
      </c>
      <c r="E239" s="75" t="s">
        <v>21</v>
      </c>
      <c r="F239" s="84"/>
      <c r="G239" s="77">
        <v>125000</v>
      </c>
      <c r="H239" s="78">
        <f t="shared" si="3"/>
        <v>935297</v>
      </c>
      <c r="J239" s="80"/>
    </row>
    <row r="240" spans="2:10" ht="17.100000000000001" customHeight="1" x14ac:dyDescent="0.25">
      <c r="B240" s="72">
        <v>46195</v>
      </c>
      <c r="C240" s="73" t="s">
        <v>185</v>
      </c>
      <c r="D240" s="82" t="s">
        <v>237</v>
      </c>
      <c r="E240" s="75" t="s">
        <v>21</v>
      </c>
      <c r="F240" s="84"/>
      <c r="G240" s="77">
        <v>45000</v>
      </c>
      <c r="H240" s="78">
        <f t="shared" si="3"/>
        <v>890297</v>
      </c>
      <c r="J240" s="80"/>
    </row>
    <row r="241" spans="2:10" ht="17.100000000000001" customHeight="1" x14ac:dyDescent="0.25">
      <c r="B241" s="72">
        <v>46195</v>
      </c>
      <c r="C241" s="81" t="s">
        <v>19</v>
      </c>
      <c r="D241" s="82" t="s">
        <v>233</v>
      </c>
      <c r="E241" s="75" t="s">
        <v>23</v>
      </c>
      <c r="F241" s="84"/>
      <c r="G241" s="77">
        <v>50000</v>
      </c>
      <c r="H241" s="78">
        <f t="shared" si="3"/>
        <v>840297</v>
      </c>
      <c r="J241" s="80"/>
    </row>
    <row r="242" spans="2:10" ht="17.100000000000001" customHeight="1" x14ac:dyDescent="0.25">
      <c r="B242" s="72">
        <v>46195</v>
      </c>
      <c r="C242" s="81" t="s">
        <v>47</v>
      </c>
      <c r="D242" s="74" t="s">
        <v>234</v>
      </c>
      <c r="E242" s="75" t="s">
        <v>105</v>
      </c>
      <c r="F242" s="84"/>
      <c r="G242" s="77">
        <v>25000</v>
      </c>
      <c r="H242" s="78">
        <f t="shared" si="3"/>
        <v>815297</v>
      </c>
      <c r="J242" s="80"/>
    </row>
    <row r="243" spans="2:10" ht="17.100000000000001" customHeight="1" x14ac:dyDescent="0.25">
      <c r="B243" s="72">
        <v>46195</v>
      </c>
      <c r="C243" s="73" t="s">
        <v>18</v>
      </c>
      <c r="D243" s="74" t="s">
        <v>46</v>
      </c>
      <c r="E243" s="75" t="s">
        <v>105</v>
      </c>
      <c r="F243" s="84"/>
      <c r="G243" s="77">
        <v>25000</v>
      </c>
      <c r="H243" s="78">
        <f t="shared" si="3"/>
        <v>790297</v>
      </c>
      <c r="J243" s="80"/>
    </row>
    <row r="244" spans="2:10" ht="17.100000000000001" customHeight="1" x14ac:dyDescent="0.25">
      <c r="B244" s="72">
        <v>46195</v>
      </c>
      <c r="C244" s="81" t="s">
        <v>19</v>
      </c>
      <c r="D244" s="82" t="s">
        <v>208</v>
      </c>
      <c r="E244" s="75" t="s">
        <v>105</v>
      </c>
      <c r="F244" s="84"/>
      <c r="G244" s="77">
        <v>50000</v>
      </c>
      <c r="H244" s="78">
        <f t="shared" si="3"/>
        <v>740297</v>
      </c>
      <c r="J244" s="80"/>
    </row>
    <row r="245" spans="2:10" ht="17.100000000000001" customHeight="1" x14ac:dyDescent="0.25">
      <c r="B245" s="72">
        <v>46195</v>
      </c>
      <c r="C245" s="81" t="s">
        <v>30</v>
      </c>
      <c r="D245" s="74" t="s">
        <v>31</v>
      </c>
      <c r="E245" s="75" t="s">
        <v>32</v>
      </c>
      <c r="F245" s="84"/>
      <c r="G245" s="77">
        <v>25000</v>
      </c>
      <c r="H245" s="78">
        <f t="shared" si="3"/>
        <v>715297</v>
      </c>
      <c r="J245" s="80"/>
    </row>
    <row r="246" spans="2:10" ht="17.100000000000001" customHeight="1" x14ac:dyDescent="0.25">
      <c r="B246" s="72">
        <v>46195</v>
      </c>
      <c r="C246" s="73" t="s">
        <v>18</v>
      </c>
      <c r="D246" s="74" t="s">
        <v>38</v>
      </c>
      <c r="E246" s="75" t="s">
        <v>32</v>
      </c>
      <c r="F246" s="84"/>
      <c r="G246" s="77">
        <v>25000</v>
      </c>
      <c r="H246" s="78">
        <f t="shared" si="3"/>
        <v>690297</v>
      </c>
      <c r="J246" s="80"/>
    </row>
    <row r="247" spans="2:10" ht="17.100000000000001" customHeight="1" x14ac:dyDescent="0.25">
      <c r="B247" s="72">
        <v>46195</v>
      </c>
      <c r="C247" s="81" t="s">
        <v>19</v>
      </c>
      <c r="D247" s="82" t="s">
        <v>178</v>
      </c>
      <c r="E247" s="75" t="s">
        <v>32</v>
      </c>
      <c r="F247" s="84"/>
      <c r="G247" s="77">
        <v>50000</v>
      </c>
      <c r="H247" s="78">
        <f t="shared" si="3"/>
        <v>640297</v>
      </c>
      <c r="J247" s="80"/>
    </row>
    <row r="248" spans="2:10" ht="17.100000000000001" customHeight="1" x14ac:dyDescent="0.25">
      <c r="B248" s="72">
        <v>46196</v>
      </c>
      <c r="C248" s="73" t="s">
        <v>37</v>
      </c>
      <c r="D248" s="83" t="s">
        <v>39</v>
      </c>
      <c r="E248" s="75" t="s">
        <v>42</v>
      </c>
      <c r="F248" s="84"/>
      <c r="G248" s="77">
        <v>25000</v>
      </c>
      <c r="H248" s="78">
        <f t="shared" si="3"/>
        <v>615297</v>
      </c>
      <c r="J248" s="80"/>
    </row>
    <row r="249" spans="2:10" ht="17.100000000000001" customHeight="1" x14ac:dyDescent="0.25">
      <c r="B249" s="72">
        <v>46196</v>
      </c>
      <c r="C249" s="73" t="s">
        <v>18</v>
      </c>
      <c r="D249" s="74" t="s">
        <v>232</v>
      </c>
      <c r="E249" s="75" t="s">
        <v>42</v>
      </c>
      <c r="F249" s="84"/>
      <c r="G249" s="77">
        <v>25000</v>
      </c>
      <c r="H249" s="78">
        <f t="shared" si="3"/>
        <v>590297</v>
      </c>
      <c r="J249" s="80"/>
    </row>
    <row r="250" spans="2:10" ht="17.100000000000001" customHeight="1" x14ac:dyDescent="0.25">
      <c r="B250" s="72">
        <v>46196</v>
      </c>
      <c r="C250" s="81" t="s">
        <v>19</v>
      </c>
      <c r="D250" s="82" t="s">
        <v>41</v>
      </c>
      <c r="E250" s="75" t="s">
        <v>42</v>
      </c>
      <c r="F250" s="84"/>
      <c r="G250" s="77">
        <v>50000</v>
      </c>
      <c r="H250" s="78">
        <f t="shared" si="3"/>
        <v>540297</v>
      </c>
      <c r="J250" s="80"/>
    </row>
    <row r="251" spans="2:10" ht="17.100000000000001" customHeight="1" x14ac:dyDescent="0.25">
      <c r="B251" s="72">
        <v>46196</v>
      </c>
      <c r="C251" s="81" t="s">
        <v>30</v>
      </c>
      <c r="D251" s="74" t="s">
        <v>31</v>
      </c>
      <c r="E251" s="75" t="s">
        <v>32</v>
      </c>
      <c r="F251" s="84"/>
      <c r="G251" s="77">
        <v>25000</v>
      </c>
      <c r="H251" s="78">
        <f t="shared" si="3"/>
        <v>515297</v>
      </c>
      <c r="J251" s="80"/>
    </row>
    <row r="252" spans="2:10" ht="17.100000000000001" customHeight="1" x14ac:dyDescent="0.25">
      <c r="B252" s="72">
        <v>46196</v>
      </c>
      <c r="C252" s="73" t="s">
        <v>18</v>
      </c>
      <c r="D252" s="74" t="s">
        <v>38</v>
      </c>
      <c r="E252" s="75" t="s">
        <v>32</v>
      </c>
      <c r="F252" s="84"/>
      <c r="G252" s="77">
        <v>25000</v>
      </c>
      <c r="H252" s="78">
        <f t="shared" si="3"/>
        <v>490297</v>
      </c>
      <c r="J252" s="80"/>
    </row>
    <row r="253" spans="2:10" ht="17.100000000000001" customHeight="1" x14ac:dyDescent="0.25">
      <c r="B253" s="72">
        <v>46196</v>
      </c>
      <c r="C253" s="81" t="s">
        <v>19</v>
      </c>
      <c r="D253" s="82" t="s">
        <v>178</v>
      </c>
      <c r="E253" s="75" t="s">
        <v>32</v>
      </c>
      <c r="F253" s="84"/>
      <c r="G253" s="77">
        <v>50000</v>
      </c>
      <c r="H253" s="78">
        <f t="shared" si="3"/>
        <v>440297</v>
      </c>
      <c r="J253" s="80"/>
    </row>
    <row r="254" spans="2:10" ht="17.100000000000001" customHeight="1" x14ac:dyDescent="0.25">
      <c r="B254" s="72">
        <v>46196</v>
      </c>
      <c r="C254" s="125" t="s">
        <v>278</v>
      </c>
      <c r="D254" s="83" t="s">
        <v>238</v>
      </c>
      <c r="E254" s="75" t="s">
        <v>236</v>
      </c>
      <c r="F254" s="84"/>
      <c r="G254" s="77">
        <v>100000</v>
      </c>
      <c r="H254" s="78">
        <f t="shared" si="3"/>
        <v>340297</v>
      </c>
      <c r="J254" s="80"/>
    </row>
    <row r="255" spans="2:10" ht="17.100000000000001" customHeight="1" x14ac:dyDescent="0.25">
      <c r="B255" s="72">
        <v>46196</v>
      </c>
      <c r="C255" s="73" t="s">
        <v>22</v>
      </c>
      <c r="D255" s="74" t="s">
        <v>29</v>
      </c>
      <c r="E255" s="75" t="s">
        <v>23</v>
      </c>
      <c r="F255" s="84"/>
      <c r="G255" s="77">
        <v>25000</v>
      </c>
      <c r="H255" s="78">
        <f t="shared" si="3"/>
        <v>315297</v>
      </c>
      <c r="J255" s="80"/>
    </row>
    <row r="256" spans="2:10" ht="17.100000000000001" customHeight="1" x14ac:dyDescent="0.25">
      <c r="B256" s="72">
        <v>46196</v>
      </c>
      <c r="C256" s="81" t="s">
        <v>18</v>
      </c>
      <c r="D256" s="82" t="s">
        <v>24</v>
      </c>
      <c r="E256" s="75" t="s">
        <v>23</v>
      </c>
      <c r="F256" s="84"/>
      <c r="G256" s="77">
        <v>25000</v>
      </c>
      <c r="H256" s="78">
        <f t="shared" si="3"/>
        <v>290297</v>
      </c>
      <c r="J256" s="80"/>
    </row>
    <row r="257" spans="2:10" ht="17.100000000000001" customHeight="1" x14ac:dyDescent="0.25">
      <c r="B257" s="72">
        <v>46196</v>
      </c>
      <c r="C257" s="73" t="s">
        <v>19</v>
      </c>
      <c r="D257" s="83" t="s">
        <v>119</v>
      </c>
      <c r="E257" s="75" t="s">
        <v>23</v>
      </c>
      <c r="F257" s="84"/>
      <c r="G257" s="77">
        <v>50000</v>
      </c>
      <c r="H257" s="78">
        <f t="shared" si="3"/>
        <v>240297</v>
      </c>
      <c r="J257" s="80"/>
    </row>
    <row r="258" spans="2:10" ht="17.100000000000001" customHeight="1" x14ac:dyDescent="0.25">
      <c r="B258" s="72">
        <v>46197</v>
      </c>
      <c r="C258" s="81" t="s">
        <v>296</v>
      </c>
      <c r="D258" s="74" t="s">
        <v>217</v>
      </c>
      <c r="E258" s="75" t="s">
        <v>21</v>
      </c>
      <c r="F258" s="84"/>
      <c r="G258" s="77">
        <v>125000</v>
      </c>
      <c r="H258" s="78">
        <f t="shared" si="3"/>
        <v>115297</v>
      </c>
      <c r="J258" s="80"/>
    </row>
    <row r="259" spans="2:10" ht="17.100000000000001" customHeight="1" x14ac:dyDescent="0.25">
      <c r="B259" s="72">
        <v>46197</v>
      </c>
      <c r="C259" s="73" t="s">
        <v>185</v>
      </c>
      <c r="D259" s="82" t="s">
        <v>237</v>
      </c>
      <c r="E259" s="75" t="s">
        <v>21</v>
      </c>
      <c r="F259" s="84"/>
      <c r="G259" s="77">
        <v>50000</v>
      </c>
      <c r="H259" s="78">
        <f t="shared" si="3"/>
        <v>65297</v>
      </c>
      <c r="J259" s="80"/>
    </row>
    <row r="260" spans="2:10" ht="17.100000000000001" customHeight="1" x14ac:dyDescent="0.25">
      <c r="B260" s="65">
        <v>46197</v>
      </c>
      <c r="C260" s="66" t="s">
        <v>43</v>
      </c>
      <c r="D260" s="100" t="s">
        <v>26</v>
      </c>
      <c r="E260" s="87" t="s">
        <v>27</v>
      </c>
      <c r="F260" s="88">
        <v>5000000</v>
      </c>
      <c r="G260" s="89"/>
      <c r="H260" s="71">
        <f t="shared" si="3"/>
        <v>5065297</v>
      </c>
      <c r="J260" s="80"/>
    </row>
    <row r="261" spans="2:10" ht="17.100000000000001" customHeight="1" x14ac:dyDescent="0.25">
      <c r="B261" s="72">
        <v>46197</v>
      </c>
      <c r="C261" s="73" t="s">
        <v>240</v>
      </c>
      <c r="D261" s="90" t="s">
        <v>241</v>
      </c>
      <c r="E261" s="75" t="s">
        <v>95</v>
      </c>
      <c r="F261" s="84"/>
      <c r="G261" s="77">
        <v>22500</v>
      </c>
      <c r="H261" s="78">
        <f t="shared" si="3"/>
        <v>5042797</v>
      </c>
      <c r="J261" s="80"/>
    </row>
    <row r="262" spans="2:10" ht="17.100000000000001" customHeight="1" x14ac:dyDescent="0.25">
      <c r="B262" s="72">
        <v>46197</v>
      </c>
      <c r="C262" s="81" t="s">
        <v>30</v>
      </c>
      <c r="D262" s="74" t="s">
        <v>31</v>
      </c>
      <c r="E262" s="75" t="s">
        <v>32</v>
      </c>
      <c r="F262" s="84"/>
      <c r="G262" s="77">
        <v>25000</v>
      </c>
      <c r="H262" s="78">
        <f t="shared" si="3"/>
        <v>5017797</v>
      </c>
      <c r="J262" s="80" t="s">
        <v>17</v>
      </c>
    </row>
    <row r="263" spans="2:10" ht="17.100000000000001" customHeight="1" x14ac:dyDescent="0.25">
      <c r="B263" s="72">
        <v>46197</v>
      </c>
      <c r="C263" s="73" t="s">
        <v>18</v>
      </c>
      <c r="D263" s="74" t="s">
        <v>38</v>
      </c>
      <c r="E263" s="75" t="s">
        <v>32</v>
      </c>
      <c r="F263" s="84"/>
      <c r="G263" s="77">
        <v>25000</v>
      </c>
      <c r="H263" s="78">
        <f t="shared" si="3"/>
        <v>4992797</v>
      </c>
      <c r="J263" s="80"/>
    </row>
    <row r="264" spans="2:10" ht="17.100000000000001" customHeight="1" x14ac:dyDescent="0.25">
      <c r="B264" s="72">
        <v>46197</v>
      </c>
      <c r="C264" s="81" t="s">
        <v>19</v>
      </c>
      <c r="D264" s="82" t="s">
        <v>178</v>
      </c>
      <c r="E264" s="75" t="s">
        <v>32</v>
      </c>
      <c r="F264" s="84"/>
      <c r="G264" s="77">
        <v>50000</v>
      </c>
      <c r="H264" s="78">
        <f t="shared" si="3"/>
        <v>4942797</v>
      </c>
      <c r="J264" s="80"/>
    </row>
    <row r="265" spans="2:10" ht="17.100000000000001" customHeight="1" x14ac:dyDescent="0.25">
      <c r="B265" s="72">
        <v>46197</v>
      </c>
      <c r="C265" s="73" t="s">
        <v>22</v>
      </c>
      <c r="D265" s="74" t="s">
        <v>29</v>
      </c>
      <c r="E265" s="75" t="s">
        <v>23</v>
      </c>
      <c r="F265" s="84"/>
      <c r="G265" s="77">
        <v>25000</v>
      </c>
      <c r="H265" s="78">
        <f t="shared" si="3"/>
        <v>4917797</v>
      </c>
      <c r="J265" s="80"/>
    </row>
    <row r="266" spans="2:10" ht="17.100000000000001" customHeight="1" x14ac:dyDescent="0.25">
      <c r="B266" s="72">
        <v>46197</v>
      </c>
      <c r="C266" s="81" t="s">
        <v>18</v>
      </c>
      <c r="D266" s="82" t="s">
        <v>24</v>
      </c>
      <c r="E266" s="75" t="s">
        <v>23</v>
      </c>
      <c r="F266" s="84"/>
      <c r="G266" s="77">
        <v>25000</v>
      </c>
      <c r="H266" s="78">
        <f t="shared" si="3"/>
        <v>4892797</v>
      </c>
      <c r="J266" s="80"/>
    </row>
    <row r="267" spans="2:10" ht="17.100000000000001" customHeight="1" x14ac:dyDescent="0.25">
      <c r="B267" s="72">
        <v>46197</v>
      </c>
      <c r="C267" s="73" t="s">
        <v>19</v>
      </c>
      <c r="D267" s="83" t="s">
        <v>119</v>
      </c>
      <c r="E267" s="75" t="s">
        <v>23</v>
      </c>
      <c r="F267" s="84"/>
      <c r="G267" s="77">
        <v>50000</v>
      </c>
      <c r="H267" s="78">
        <f t="shared" si="3"/>
        <v>4842797</v>
      </c>
      <c r="J267" s="80"/>
    </row>
    <row r="268" spans="2:10" ht="17.100000000000001" customHeight="1" x14ac:dyDescent="0.25">
      <c r="B268" s="72">
        <v>46197</v>
      </c>
      <c r="C268" s="81" t="s">
        <v>47</v>
      </c>
      <c r="D268" s="74" t="s">
        <v>234</v>
      </c>
      <c r="E268" s="75" t="s">
        <v>105</v>
      </c>
      <c r="F268" s="84"/>
      <c r="G268" s="77">
        <v>25000</v>
      </c>
      <c r="H268" s="78">
        <f t="shared" si="3"/>
        <v>4817797</v>
      </c>
      <c r="J268" s="80"/>
    </row>
    <row r="269" spans="2:10" ht="17.100000000000001" customHeight="1" x14ac:dyDescent="0.25">
      <c r="B269" s="72">
        <v>46197</v>
      </c>
      <c r="C269" s="73" t="s">
        <v>18</v>
      </c>
      <c r="D269" s="74" t="s">
        <v>46</v>
      </c>
      <c r="E269" s="75" t="s">
        <v>105</v>
      </c>
      <c r="F269" s="84"/>
      <c r="G269" s="77">
        <v>25000</v>
      </c>
      <c r="H269" s="78">
        <f t="shared" si="3"/>
        <v>4792797</v>
      </c>
      <c r="J269" s="80"/>
    </row>
    <row r="270" spans="2:10" ht="17.100000000000001" customHeight="1" x14ac:dyDescent="0.25">
      <c r="B270" s="72">
        <v>46197</v>
      </c>
      <c r="C270" s="81" t="s">
        <v>19</v>
      </c>
      <c r="D270" s="82" t="s">
        <v>208</v>
      </c>
      <c r="E270" s="75" t="s">
        <v>105</v>
      </c>
      <c r="F270" s="84"/>
      <c r="G270" s="77">
        <v>50000</v>
      </c>
      <c r="H270" s="78">
        <f t="shared" ref="H270:H333" si="4">H269+F270-G270</f>
        <v>4742797</v>
      </c>
      <c r="J270" s="80"/>
    </row>
    <row r="271" spans="2:10" ht="17.100000000000001" customHeight="1" x14ac:dyDescent="0.25">
      <c r="B271" s="72">
        <v>46197</v>
      </c>
      <c r="C271" s="73" t="s">
        <v>37</v>
      </c>
      <c r="D271" s="83" t="s">
        <v>39</v>
      </c>
      <c r="E271" s="75" t="s">
        <v>42</v>
      </c>
      <c r="F271" s="84"/>
      <c r="G271" s="77">
        <v>25000</v>
      </c>
      <c r="H271" s="78">
        <f t="shared" si="4"/>
        <v>4717797</v>
      </c>
      <c r="J271" s="80"/>
    </row>
    <row r="272" spans="2:10" ht="17.100000000000001" customHeight="1" x14ac:dyDescent="0.25">
      <c r="B272" s="72">
        <v>46197</v>
      </c>
      <c r="C272" s="73" t="s">
        <v>18</v>
      </c>
      <c r="D272" s="74" t="s">
        <v>232</v>
      </c>
      <c r="E272" s="75" t="s">
        <v>42</v>
      </c>
      <c r="F272" s="84"/>
      <c r="G272" s="77">
        <v>25000</v>
      </c>
      <c r="H272" s="78">
        <f t="shared" si="4"/>
        <v>4692797</v>
      </c>
      <c r="J272" s="80"/>
    </row>
    <row r="273" spans="2:10" ht="17.100000000000001" customHeight="1" x14ac:dyDescent="0.25">
      <c r="B273" s="72">
        <v>46197</v>
      </c>
      <c r="C273" s="81" t="s">
        <v>19</v>
      </c>
      <c r="D273" s="82" t="s">
        <v>41</v>
      </c>
      <c r="E273" s="75" t="s">
        <v>42</v>
      </c>
      <c r="F273" s="84"/>
      <c r="G273" s="77">
        <v>50000</v>
      </c>
      <c r="H273" s="78">
        <f t="shared" si="4"/>
        <v>4642797</v>
      </c>
      <c r="J273" s="80"/>
    </row>
    <row r="274" spans="2:10" ht="17.100000000000001" customHeight="1" x14ac:dyDescent="0.25">
      <c r="B274" s="72">
        <v>46197</v>
      </c>
      <c r="C274" s="73" t="s">
        <v>185</v>
      </c>
      <c r="D274" s="82" t="s">
        <v>242</v>
      </c>
      <c r="E274" s="75" t="s">
        <v>254</v>
      </c>
      <c r="F274" s="84"/>
      <c r="G274" s="77">
        <v>75000</v>
      </c>
      <c r="H274" s="78">
        <f t="shared" si="4"/>
        <v>4567797</v>
      </c>
      <c r="J274" s="80"/>
    </row>
    <row r="275" spans="2:10" ht="17.100000000000001" customHeight="1" x14ac:dyDescent="0.25">
      <c r="B275" s="72">
        <v>46197</v>
      </c>
      <c r="C275" s="127" t="s">
        <v>285</v>
      </c>
      <c r="D275" s="83" t="s">
        <v>243</v>
      </c>
      <c r="E275" s="75" t="s">
        <v>28</v>
      </c>
      <c r="F275" s="84"/>
      <c r="G275" s="77">
        <v>80000</v>
      </c>
      <c r="H275" s="78">
        <f t="shared" si="4"/>
        <v>4487797</v>
      </c>
      <c r="J275" s="80"/>
    </row>
    <row r="276" spans="2:10" ht="17.100000000000001" customHeight="1" x14ac:dyDescent="0.25">
      <c r="B276" s="72">
        <v>46197</v>
      </c>
      <c r="C276" s="127" t="s">
        <v>277</v>
      </c>
      <c r="D276" s="90" t="s">
        <v>252</v>
      </c>
      <c r="E276" s="75" t="s">
        <v>28</v>
      </c>
      <c r="F276" s="84"/>
      <c r="G276" s="77">
        <v>145100</v>
      </c>
      <c r="H276" s="78">
        <f t="shared" si="4"/>
        <v>4342697</v>
      </c>
      <c r="J276" s="80"/>
    </row>
    <row r="277" spans="2:10" ht="17.100000000000001" customHeight="1" x14ac:dyDescent="0.25">
      <c r="B277" s="72">
        <v>46197</v>
      </c>
      <c r="C277" s="126" t="s">
        <v>185</v>
      </c>
      <c r="D277" s="82" t="s">
        <v>253</v>
      </c>
      <c r="E277" s="75" t="s">
        <v>254</v>
      </c>
      <c r="F277" s="84"/>
      <c r="G277" s="77">
        <v>75000</v>
      </c>
      <c r="H277" s="78">
        <f t="shared" si="4"/>
        <v>4267697</v>
      </c>
      <c r="J277" s="80"/>
    </row>
    <row r="278" spans="2:10" ht="17.100000000000001" customHeight="1" x14ac:dyDescent="0.25">
      <c r="B278" s="72">
        <v>46198</v>
      </c>
      <c r="C278" s="73" t="s">
        <v>277</v>
      </c>
      <c r="D278" s="74" t="s">
        <v>255</v>
      </c>
      <c r="E278" s="75" t="s">
        <v>256</v>
      </c>
      <c r="F278" s="84"/>
      <c r="G278" s="77">
        <v>220000</v>
      </c>
      <c r="H278" s="78">
        <f t="shared" si="4"/>
        <v>4047697</v>
      </c>
      <c r="J278" s="80"/>
    </row>
    <row r="279" spans="2:10" ht="17.100000000000001" customHeight="1" x14ac:dyDescent="0.25">
      <c r="B279" s="72">
        <v>46198</v>
      </c>
      <c r="C279" s="81" t="s">
        <v>19</v>
      </c>
      <c r="D279" s="82" t="s">
        <v>257</v>
      </c>
      <c r="E279" s="75" t="s">
        <v>32</v>
      </c>
      <c r="F279" s="84"/>
      <c r="G279" s="77">
        <v>50000</v>
      </c>
      <c r="H279" s="78">
        <f t="shared" si="4"/>
        <v>3997697</v>
      </c>
      <c r="J279" s="80"/>
    </row>
    <row r="280" spans="2:10" ht="17.100000000000001" customHeight="1" x14ac:dyDescent="0.25">
      <c r="B280" s="72">
        <v>46198</v>
      </c>
      <c r="C280" s="73" t="s">
        <v>22</v>
      </c>
      <c r="D280" s="74" t="s">
        <v>29</v>
      </c>
      <c r="E280" s="75" t="s">
        <v>23</v>
      </c>
      <c r="F280" s="84"/>
      <c r="G280" s="77">
        <v>25000</v>
      </c>
      <c r="H280" s="78">
        <f t="shared" si="4"/>
        <v>3972697</v>
      </c>
      <c r="J280" s="80"/>
    </row>
    <row r="281" spans="2:10" ht="17.100000000000001" customHeight="1" x14ac:dyDescent="0.25">
      <c r="B281" s="72">
        <v>46198</v>
      </c>
      <c r="C281" s="81" t="s">
        <v>18</v>
      </c>
      <c r="D281" s="82" t="s">
        <v>24</v>
      </c>
      <c r="E281" s="75" t="s">
        <v>23</v>
      </c>
      <c r="F281" s="84"/>
      <c r="G281" s="77">
        <v>25000</v>
      </c>
      <c r="H281" s="78">
        <f t="shared" si="4"/>
        <v>3947697</v>
      </c>
      <c r="J281" s="80"/>
    </row>
    <row r="282" spans="2:10" ht="17.100000000000001" customHeight="1" x14ac:dyDescent="0.25">
      <c r="B282" s="72">
        <v>46198</v>
      </c>
      <c r="C282" s="73" t="s">
        <v>19</v>
      </c>
      <c r="D282" s="83" t="s">
        <v>119</v>
      </c>
      <c r="E282" s="75" t="s">
        <v>23</v>
      </c>
      <c r="F282" s="84"/>
      <c r="G282" s="77">
        <v>50000</v>
      </c>
      <c r="H282" s="78">
        <f t="shared" si="4"/>
        <v>3897697</v>
      </c>
      <c r="J282" s="80"/>
    </row>
    <row r="283" spans="2:10" ht="17.100000000000001" customHeight="1" x14ac:dyDescent="0.25">
      <c r="B283" s="72">
        <v>46198</v>
      </c>
      <c r="C283" s="73" t="s">
        <v>37</v>
      </c>
      <c r="D283" s="83" t="s">
        <v>39</v>
      </c>
      <c r="E283" s="75" t="s">
        <v>42</v>
      </c>
      <c r="F283" s="84"/>
      <c r="G283" s="77">
        <v>25000</v>
      </c>
      <c r="H283" s="78">
        <f t="shared" si="4"/>
        <v>3872697</v>
      </c>
      <c r="J283" s="80"/>
    </row>
    <row r="284" spans="2:10" ht="17.100000000000001" customHeight="1" x14ac:dyDescent="0.25">
      <c r="B284" s="72">
        <v>46198</v>
      </c>
      <c r="C284" s="73" t="s">
        <v>18</v>
      </c>
      <c r="D284" s="74" t="s">
        <v>232</v>
      </c>
      <c r="E284" s="75" t="s">
        <v>42</v>
      </c>
      <c r="F284" s="84"/>
      <c r="G284" s="77">
        <v>25000</v>
      </c>
      <c r="H284" s="78">
        <f t="shared" si="4"/>
        <v>3847697</v>
      </c>
      <c r="J284" s="80"/>
    </row>
    <row r="285" spans="2:10" ht="17.100000000000001" customHeight="1" x14ac:dyDescent="0.25">
      <c r="B285" s="72">
        <v>46198</v>
      </c>
      <c r="C285" s="81" t="s">
        <v>19</v>
      </c>
      <c r="D285" s="82" t="s">
        <v>41</v>
      </c>
      <c r="E285" s="75" t="s">
        <v>42</v>
      </c>
      <c r="F285" s="84"/>
      <c r="G285" s="77">
        <v>50000</v>
      </c>
      <c r="H285" s="78">
        <f t="shared" si="4"/>
        <v>3797697</v>
      </c>
      <c r="J285" s="80"/>
    </row>
    <row r="286" spans="2:10" ht="17.100000000000001" customHeight="1" x14ac:dyDescent="0.25">
      <c r="B286" s="72">
        <v>46198</v>
      </c>
      <c r="C286" s="81" t="s">
        <v>47</v>
      </c>
      <c r="D286" s="74" t="s">
        <v>234</v>
      </c>
      <c r="E286" s="75" t="s">
        <v>105</v>
      </c>
      <c r="F286" s="84"/>
      <c r="G286" s="77">
        <v>25000</v>
      </c>
      <c r="H286" s="78">
        <f t="shared" si="4"/>
        <v>3772697</v>
      </c>
      <c r="J286" s="80"/>
    </row>
    <row r="287" spans="2:10" ht="17.100000000000001" customHeight="1" x14ac:dyDescent="0.25">
      <c r="B287" s="72">
        <v>46198</v>
      </c>
      <c r="C287" s="73" t="s">
        <v>18</v>
      </c>
      <c r="D287" s="74" t="s">
        <v>46</v>
      </c>
      <c r="E287" s="75" t="s">
        <v>105</v>
      </c>
      <c r="F287" s="84"/>
      <c r="G287" s="77">
        <v>25000</v>
      </c>
      <c r="H287" s="78">
        <f t="shared" si="4"/>
        <v>3747697</v>
      </c>
      <c r="J287" s="80"/>
    </row>
    <row r="288" spans="2:10" ht="17.100000000000001" customHeight="1" x14ac:dyDescent="0.25">
      <c r="B288" s="72">
        <v>46198</v>
      </c>
      <c r="C288" s="81" t="s">
        <v>19</v>
      </c>
      <c r="D288" s="82" t="s">
        <v>208</v>
      </c>
      <c r="E288" s="75" t="s">
        <v>105</v>
      </c>
      <c r="F288" s="84"/>
      <c r="G288" s="77">
        <v>50000</v>
      </c>
      <c r="H288" s="78">
        <f t="shared" si="4"/>
        <v>3697697</v>
      </c>
      <c r="J288" s="80"/>
    </row>
    <row r="289" spans="1:10" ht="17.100000000000001" customHeight="1" x14ac:dyDescent="0.25">
      <c r="A289" s="79" t="s">
        <v>17</v>
      </c>
      <c r="B289" s="72">
        <v>46198</v>
      </c>
      <c r="C289" s="73" t="s">
        <v>44</v>
      </c>
      <c r="D289" s="82" t="s">
        <v>230</v>
      </c>
      <c r="E289" s="75" t="s">
        <v>236</v>
      </c>
      <c r="F289" s="84"/>
      <c r="G289" s="77">
        <v>520000</v>
      </c>
      <c r="H289" s="78">
        <f t="shared" si="4"/>
        <v>3177697</v>
      </c>
      <c r="J289" s="80"/>
    </row>
    <row r="290" spans="1:10" ht="17.100000000000001" customHeight="1" x14ac:dyDescent="0.25">
      <c r="B290" s="72">
        <v>46198</v>
      </c>
      <c r="C290" s="127" t="s">
        <v>286</v>
      </c>
      <c r="D290" s="90" t="s">
        <v>258</v>
      </c>
      <c r="E290" s="75" t="s">
        <v>28</v>
      </c>
      <c r="F290" s="84"/>
      <c r="G290" s="77">
        <v>30000</v>
      </c>
      <c r="H290" s="78">
        <f t="shared" si="4"/>
        <v>3147697</v>
      </c>
      <c r="J290" s="80"/>
    </row>
    <row r="291" spans="1:10" ht="17.100000000000001" customHeight="1" x14ac:dyDescent="0.25">
      <c r="B291" s="72">
        <v>46198</v>
      </c>
      <c r="C291" s="127" t="s">
        <v>285</v>
      </c>
      <c r="D291" s="117" t="s">
        <v>259</v>
      </c>
      <c r="E291" s="118" t="s">
        <v>28</v>
      </c>
      <c r="F291" s="119"/>
      <c r="G291" s="120">
        <v>35000</v>
      </c>
      <c r="H291" s="78">
        <f t="shared" si="4"/>
        <v>3112697</v>
      </c>
      <c r="J291" s="80"/>
    </row>
    <row r="292" spans="1:10" ht="17.100000000000001" customHeight="1" x14ac:dyDescent="0.25">
      <c r="B292" s="72">
        <v>46198</v>
      </c>
      <c r="C292" s="73" t="s">
        <v>44</v>
      </c>
      <c r="D292" s="122" t="s">
        <v>260</v>
      </c>
      <c r="E292" s="123" t="s">
        <v>160</v>
      </c>
      <c r="F292" s="86"/>
      <c r="G292" s="124">
        <v>412000</v>
      </c>
      <c r="H292" s="78">
        <f t="shared" si="4"/>
        <v>2700697</v>
      </c>
    </row>
    <row r="293" spans="1:10" ht="17.100000000000001" customHeight="1" x14ac:dyDescent="0.25">
      <c r="B293" s="72">
        <v>46199</v>
      </c>
      <c r="C293" s="81" t="s">
        <v>30</v>
      </c>
      <c r="D293" s="74" t="s">
        <v>31</v>
      </c>
      <c r="E293" s="75" t="s">
        <v>32</v>
      </c>
      <c r="F293" s="84"/>
      <c r="G293" s="77">
        <v>25000</v>
      </c>
      <c r="H293" s="78">
        <f t="shared" si="4"/>
        <v>2675697</v>
      </c>
    </row>
    <row r="294" spans="1:10" ht="17.100000000000001" customHeight="1" x14ac:dyDescent="0.25">
      <c r="B294" s="72">
        <v>46199</v>
      </c>
      <c r="C294" s="73" t="s">
        <v>18</v>
      </c>
      <c r="D294" s="74" t="s">
        <v>38</v>
      </c>
      <c r="E294" s="75" t="s">
        <v>32</v>
      </c>
      <c r="F294" s="84"/>
      <c r="G294" s="77">
        <v>25000</v>
      </c>
      <c r="H294" s="78">
        <f t="shared" si="4"/>
        <v>2650697</v>
      </c>
    </row>
    <row r="295" spans="1:10" ht="17.100000000000001" customHeight="1" x14ac:dyDescent="0.25">
      <c r="B295" s="72">
        <v>46199</v>
      </c>
      <c r="C295" s="81" t="s">
        <v>19</v>
      </c>
      <c r="D295" s="82" t="s">
        <v>178</v>
      </c>
      <c r="E295" s="75" t="s">
        <v>32</v>
      </c>
      <c r="F295" s="84"/>
      <c r="G295" s="77">
        <v>50000</v>
      </c>
      <c r="H295" s="78">
        <f t="shared" si="4"/>
        <v>2600697</v>
      </c>
    </row>
    <row r="296" spans="1:10" ht="17.100000000000001" customHeight="1" x14ac:dyDescent="0.25">
      <c r="B296" s="72">
        <v>46199</v>
      </c>
      <c r="C296" s="81" t="s">
        <v>30</v>
      </c>
      <c r="D296" s="74" t="s">
        <v>261</v>
      </c>
      <c r="E296" s="123" t="s">
        <v>32</v>
      </c>
      <c r="F296" s="86"/>
      <c r="G296" s="124">
        <v>100000</v>
      </c>
      <c r="H296" s="78">
        <f t="shared" si="4"/>
        <v>2500697</v>
      </c>
    </row>
    <row r="297" spans="1:10" ht="17.100000000000001" customHeight="1" x14ac:dyDescent="0.25">
      <c r="B297" s="72">
        <v>46199</v>
      </c>
      <c r="C297" s="73" t="s">
        <v>22</v>
      </c>
      <c r="D297" s="74" t="s">
        <v>29</v>
      </c>
      <c r="E297" s="75" t="s">
        <v>23</v>
      </c>
      <c r="F297" s="84"/>
      <c r="G297" s="77">
        <v>25000</v>
      </c>
      <c r="H297" s="78">
        <f t="shared" si="4"/>
        <v>2475697</v>
      </c>
    </row>
    <row r="298" spans="1:10" ht="17.100000000000001" customHeight="1" x14ac:dyDescent="0.25">
      <c r="B298" s="72">
        <v>46199</v>
      </c>
      <c r="C298" s="81" t="s">
        <v>18</v>
      </c>
      <c r="D298" s="82" t="s">
        <v>24</v>
      </c>
      <c r="E298" s="75" t="s">
        <v>23</v>
      </c>
      <c r="F298" s="84"/>
      <c r="G298" s="77">
        <v>25000</v>
      </c>
      <c r="H298" s="78">
        <f t="shared" si="4"/>
        <v>2450697</v>
      </c>
    </row>
    <row r="299" spans="1:10" ht="17.100000000000001" customHeight="1" x14ac:dyDescent="0.25">
      <c r="B299" s="72">
        <v>46199</v>
      </c>
      <c r="C299" s="73" t="s">
        <v>19</v>
      </c>
      <c r="D299" s="83" t="s">
        <v>119</v>
      </c>
      <c r="E299" s="75" t="s">
        <v>23</v>
      </c>
      <c r="F299" s="84"/>
      <c r="G299" s="77">
        <v>50000</v>
      </c>
      <c r="H299" s="78">
        <f t="shared" si="4"/>
        <v>2400697</v>
      </c>
    </row>
    <row r="300" spans="1:10" ht="17.100000000000001" customHeight="1" x14ac:dyDescent="0.25">
      <c r="B300" s="72">
        <v>46199</v>
      </c>
      <c r="C300" s="81" t="s">
        <v>47</v>
      </c>
      <c r="D300" s="74" t="s">
        <v>216</v>
      </c>
      <c r="E300" s="75" t="s">
        <v>21</v>
      </c>
      <c r="F300" s="84"/>
      <c r="G300" s="77">
        <v>25000</v>
      </c>
      <c r="H300" s="78">
        <f t="shared" si="4"/>
        <v>2375697</v>
      </c>
    </row>
    <row r="301" spans="1:10" ht="17.100000000000001" customHeight="1" x14ac:dyDescent="0.25">
      <c r="B301" s="72">
        <v>46199</v>
      </c>
      <c r="C301" s="73" t="s">
        <v>18</v>
      </c>
      <c r="D301" s="74" t="s">
        <v>46</v>
      </c>
      <c r="E301" s="75" t="s">
        <v>21</v>
      </c>
      <c r="F301" s="84"/>
      <c r="G301" s="77">
        <v>25000</v>
      </c>
      <c r="H301" s="78">
        <f t="shared" si="4"/>
        <v>2350697</v>
      </c>
    </row>
    <row r="302" spans="1:10" ht="17.100000000000001" customHeight="1" x14ac:dyDescent="0.25">
      <c r="B302" s="72">
        <v>46199</v>
      </c>
      <c r="C302" s="81" t="s">
        <v>19</v>
      </c>
      <c r="D302" s="82" t="s">
        <v>208</v>
      </c>
      <c r="E302" s="75" t="s">
        <v>21</v>
      </c>
      <c r="F302" s="84"/>
      <c r="G302" s="77">
        <v>50000</v>
      </c>
      <c r="H302" s="78">
        <f t="shared" si="4"/>
        <v>2300697</v>
      </c>
    </row>
    <row r="303" spans="1:10" ht="17.100000000000001" customHeight="1" x14ac:dyDescent="0.25">
      <c r="B303" s="72">
        <v>46199</v>
      </c>
      <c r="C303" s="73" t="s">
        <v>37</v>
      </c>
      <c r="D303" s="83" t="s">
        <v>39</v>
      </c>
      <c r="E303" s="75" t="s">
        <v>42</v>
      </c>
      <c r="F303" s="84"/>
      <c r="G303" s="77">
        <v>25000</v>
      </c>
      <c r="H303" s="78">
        <f t="shared" si="4"/>
        <v>2275697</v>
      </c>
    </row>
    <row r="304" spans="1:10" ht="17.100000000000001" customHeight="1" x14ac:dyDescent="0.25">
      <c r="B304" s="72">
        <v>46199</v>
      </c>
      <c r="C304" s="73" t="s">
        <v>18</v>
      </c>
      <c r="D304" s="74" t="s">
        <v>232</v>
      </c>
      <c r="E304" s="75" t="s">
        <v>42</v>
      </c>
      <c r="F304" s="84"/>
      <c r="G304" s="77">
        <v>25000</v>
      </c>
      <c r="H304" s="78">
        <f t="shared" si="4"/>
        <v>2250697</v>
      </c>
    </row>
    <row r="305" spans="2:8" ht="17.100000000000001" customHeight="1" x14ac:dyDescent="0.25">
      <c r="B305" s="72">
        <v>46200</v>
      </c>
      <c r="C305" s="127" t="s">
        <v>286</v>
      </c>
      <c r="D305" s="122" t="s">
        <v>72</v>
      </c>
      <c r="E305" s="123" t="s">
        <v>28</v>
      </c>
      <c r="F305" s="86"/>
      <c r="G305" s="124">
        <v>20000</v>
      </c>
      <c r="H305" s="78">
        <f t="shared" si="4"/>
        <v>2230697</v>
      </c>
    </row>
    <row r="306" spans="2:8" ht="17.100000000000001" customHeight="1" x14ac:dyDescent="0.25">
      <c r="B306" s="72">
        <v>46200</v>
      </c>
      <c r="C306" s="73" t="s">
        <v>22</v>
      </c>
      <c r="D306" s="74" t="s">
        <v>29</v>
      </c>
      <c r="E306" s="75" t="s">
        <v>23</v>
      </c>
      <c r="F306" s="84"/>
      <c r="G306" s="77">
        <v>25000</v>
      </c>
      <c r="H306" s="78">
        <f t="shared" si="4"/>
        <v>2205697</v>
      </c>
    </row>
    <row r="307" spans="2:8" ht="17.100000000000001" customHeight="1" x14ac:dyDescent="0.25">
      <c r="B307" s="72">
        <v>46200</v>
      </c>
      <c r="C307" s="81" t="s">
        <v>18</v>
      </c>
      <c r="D307" s="82" t="s">
        <v>24</v>
      </c>
      <c r="E307" s="75" t="s">
        <v>23</v>
      </c>
      <c r="F307" s="84"/>
      <c r="G307" s="77">
        <v>25000</v>
      </c>
      <c r="H307" s="78">
        <f t="shared" si="4"/>
        <v>2180697</v>
      </c>
    </row>
    <row r="308" spans="2:8" ht="17.100000000000001" customHeight="1" x14ac:dyDescent="0.25">
      <c r="B308" s="72">
        <v>46200</v>
      </c>
      <c r="C308" s="73" t="s">
        <v>19</v>
      </c>
      <c r="D308" s="83" t="s">
        <v>119</v>
      </c>
      <c r="E308" s="75" t="s">
        <v>23</v>
      </c>
      <c r="F308" s="84"/>
      <c r="G308" s="77">
        <v>50000</v>
      </c>
      <c r="H308" s="78">
        <f t="shared" si="4"/>
        <v>2130697</v>
      </c>
    </row>
    <row r="309" spans="2:8" ht="17.100000000000001" customHeight="1" x14ac:dyDescent="0.25">
      <c r="B309" s="72">
        <v>46200</v>
      </c>
      <c r="C309" s="81" t="s">
        <v>30</v>
      </c>
      <c r="D309" s="74" t="s">
        <v>31</v>
      </c>
      <c r="E309" s="75" t="s">
        <v>32</v>
      </c>
      <c r="F309" s="84"/>
      <c r="G309" s="77">
        <v>25000</v>
      </c>
      <c r="H309" s="78">
        <f t="shared" si="4"/>
        <v>2105697</v>
      </c>
    </row>
    <row r="310" spans="2:8" ht="17.100000000000001" customHeight="1" x14ac:dyDescent="0.25">
      <c r="B310" s="72">
        <v>46200</v>
      </c>
      <c r="C310" s="73" t="s">
        <v>18</v>
      </c>
      <c r="D310" s="74" t="s">
        <v>38</v>
      </c>
      <c r="E310" s="75" t="s">
        <v>32</v>
      </c>
      <c r="F310" s="84"/>
      <c r="G310" s="77">
        <v>25000</v>
      </c>
      <c r="H310" s="78">
        <f t="shared" si="4"/>
        <v>2080697</v>
      </c>
    </row>
    <row r="311" spans="2:8" ht="17.100000000000001" customHeight="1" x14ac:dyDescent="0.25">
      <c r="B311" s="72">
        <v>46200</v>
      </c>
      <c r="C311" s="81" t="s">
        <v>19</v>
      </c>
      <c r="D311" s="82" t="s">
        <v>178</v>
      </c>
      <c r="E311" s="75" t="s">
        <v>32</v>
      </c>
      <c r="F311" s="84"/>
      <c r="G311" s="77">
        <v>50000</v>
      </c>
      <c r="H311" s="78">
        <f t="shared" si="4"/>
        <v>2030697</v>
      </c>
    </row>
    <row r="312" spans="2:8" ht="17.100000000000001" customHeight="1" x14ac:dyDescent="0.25">
      <c r="B312" s="72">
        <v>46200</v>
      </c>
      <c r="C312" s="73" t="s">
        <v>37</v>
      </c>
      <c r="D312" s="83" t="s">
        <v>39</v>
      </c>
      <c r="E312" s="75" t="s">
        <v>42</v>
      </c>
      <c r="F312" s="84"/>
      <c r="G312" s="77">
        <v>25000</v>
      </c>
      <c r="H312" s="78">
        <f t="shared" si="4"/>
        <v>2005697</v>
      </c>
    </row>
    <row r="313" spans="2:8" ht="17.100000000000001" customHeight="1" x14ac:dyDescent="0.25">
      <c r="B313" s="72">
        <v>46200</v>
      </c>
      <c r="C313" s="73" t="s">
        <v>18</v>
      </c>
      <c r="D313" s="74" t="s">
        <v>232</v>
      </c>
      <c r="E313" s="75" t="s">
        <v>42</v>
      </c>
      <c r="F313" s="84"/>
      <c r="G313" s="77">
        <v>25000</v>
      </c>
      <c r="H313" s="78">
        <f t="shared" si="4"/>
        <v>1980697</v>
      </c>
    </row>
    <row r="314" spans="2:8" ht="17.100000000000001" customHeight="1" x14ac:dyDescent="0.25">
      <c r="B314" s="72">
        <v>46200</v>
      </c>
      <c r="C314" s="81" t="s">
        <v>19</v>
      </c>
      <c r="D314" s="82" t="s">
        <v>41</v>
      </c>
      <c r="E314" s="75" t="s">
        <v>42</v>
      </c>
      <c r="F314" s="84"/>
      <c r="G314" s="77">
        <v>50000</v>
      </c>
      <c r="H314" s="78">
        <f t="shared" si="4"/>
        <v>1930697</v>
      </c>
    </row>
    <row r="315" spans="2:8" ht="17.100000000000001" customHeight="1" x14ac:dyDescent="0.25">
      <c r="B315" s="72">
        <v>46200</v>
      </c>
      <c r="C315" s="81" t="s">
        <v>47</v>
      </c>
      <c r="D315" s="74" t="s">
        <v>216</v>
      </c>
      <c r="E315" s="75" t="s">
        <v>21</v>
      </c>
      <c r="F315" s="84"/>
      <c r="G315" s="77">
        <v>25000</v>
      </c>
      <c r="H315" s="78">
        <f t="shared" si="4"/>
        <v>1905697</v>
      </c>
    </row>
    <row r="316" spans="2:8" ht="17.100000000000001" customHeight="1" x14ac:dyDescent="0.25">
      <c r="B316" s="72">
        <v>46200</v>
      </c>
      <c r="C316" s="73" t="s">
        <v>18</v>
      </c>
      <c r="D316" s="74" t="s">
        <v>46</v>
      </c>
      <c r="E316" s="75" t="s">
        <v>21</v>
      </c>
      <c r="F316" s="84"/>
      <c r="G316" s="77">
        <v>25000</v>
      </c>
      <c r="H316" s="78">
        <f t="shared" si="4"/>
        <v>1880697</v>
      </c>
    </row>
    <row r="317" spans="2:8" ht="17.100000000000001" customHeight="1" x14ac:dyDescent="0.25">
      <c r="B317" s="72">
        <v>46202</v>
      </c>
      <c r="C317" s="73" t="s">
        <v>44</v>
      </c>
      <c r="D317" s="122" t="s">
        <v>262</v>
      </c>
      <c r="E317" s="123" t="s">
        <v>236</v>
      </c>
      <c r="F317" s="86"/>
      <c r="G317" s="124">
        <v>65000</v>
      </c>
      <c r="H317" s="78">
        <f t="shared" si="4"/>
        <v>1815697</v>
      </c>
    </row>
    <row r="318" spans="2:8" ht="17.100000000000001" customHeight="1" x14ac:dyDescent="0.25">
      <c r="B318" s="72">
        <v>46202</v>
      </c>
      <c r="C318" s="125" t="s">
        <v>276</v>
      </c>
      <c r="D318" s="122" t="s">
        <v>263</v>
      </c>
      <c r="E318" s="123" t="s">
        <v>264</v>
      </c>
      <c r="F318" s="86"/>
      <c r="G318" s="124">
        <v>38500</v>
      </c>
      <c r="H318" s="78">
        <f t="shared" si="4"/>
        <v>1777197</v>
      </c>
    </row>
    <row r="319" spans="2:8" ht="17.100000000000001" customHeight="1" x14ac:dyDescent="0.25">
      <c r="B319" s="72">
        <v>46202</v>
      </c>
      <c r="C319" s="81" t="s">
        <v>30</v>
      </c>
      <c r="D319" s="74" t="s">
        <v>31</v>
      </c>
      <c r="E319" s="75" t="s">
        <v>32</v>
      </c>
      <c r="F319" s="84"/>
      <c r="G319" s="77">
        <v>25000</v>
      </c>
      <c r="H319" s="78">
        <f t="shared" si="4"/>
        <v>1752197</v>
      </c>
    </row>
    <row r="320" spans="2:8" ht="17.100000000000001" customHeight="1" x14ac:dyDescent="0.25">
      <c r="B320" s="72">
        <v>46202</v>
      </c>
      <c r="C320" s="73" t="s">
        <v>18</v>
      </c>
      <c r="D320" s="74" t="s">
        <v>38</v>
      </c>
      <c r="E320" s="75" t="s">
        <v>32</v>
      </c>
      <c r="F320" s="84"/>
      <c r="G320" s="77">
        <v>25000</v>
      </c>
      <c r="H320" s="78">
        <f t="shared" si="4"/>
        <v>1727197</v>
      </c>
    </row>
    <row r="321" spans="2:10" ht="17.100000000000001" customHeight="1" x14ac:dyDescent="0.25">
      <c r="B321" s="72">
        <v>46202</v>
      </c>
      <c r="C321" s="81" t="s">
        <v>19</v>
      </c>
      <c r="D321" s="82" t="s">
        <v>178</v>
      </c>
      <c r="E321" s="75" t="s">
        <v>32</v>
      </c>
      <c r="F321" s="84"/>
      <c r="G321" s="77">
        <v>50000</v>
      </c>
      <c r="H321" s="78">
        <f t="shared" si="4"/>
        <v>1677197</v>
      </c>
    </row>
    <row r="322" spans="2:10" ht="17.100000000000001" customHeight="1" x14ac:dyDescent="0.25">
      <c r="B322" s="72">
        <v>46202</v>
      </c>
      <c r="C322" s="81" t="s">
        <v>47</v>
      </c>
      <c r="D322" s="74" t="s">
        <v>216</v>
      </c>
      <c r="E322" s="75" t="s">
        <v>21</v>
      </c>
      <c r="F322" s="84"/>
      <c r="G322" s="77">
        <v>25000</v>
      </c>
      <c r="H322" s="78">
        <f t="shared" si="4"/>
        <v>1652197</v>
      </c>
    </row>
    <row r="323" spans="2:10" ht="17.100000000000001" customHeight="1" x14ac:dyDescent="0.25">
      <c r="B323" s="72">
        <v>46202</v>
      </c>
      <c r="C323" s="73" t="s">
        <v>18</v>
      </c>
      <c r="D323" s="74" t="s">
        <v>46</v>
      </c>
      <c r="E323" s="75" t="s">
        <v>21</v>
      </c>
      <c r="F323" s="84"/>
      <c r="G323" s="77">
        <v>25000</v>
      </c>
      <c r="H323" s="78">
        <f t="shared" si="4"/>
        <v>1627197</v>
      </c>
    </row>
    <row r="324" spans="2:10" ht="17.100000000000001" customHeight="1" x14ac:dyDescent="0.25">
      <c r="B324" s="72">
        <v>46202</v>
      </c>
      <c r="C324" s="81" t="s">
        <v>19</v>
      </c>
      <c r="D324" s="82" t="s">
        <v>208</v>
      </c>
      <c r="E324" s="123" t="s">
        <v>21</v>
      </c>
      <c r="F324" s="86"/>
      <c r="G324" s="124">
        <v>50000</v>
      </c>
      <c r="H324" s="78">
        <f t="shared" si="4"/>
        <v>1577197</v>
      </c>
    </row>
    <row r="325" spans="2:10" ht="17.100000000000001" customHeight="1" x14ac:dyDescent="0.25">
      <c r="B325" s="72">
        <v>46202</v>
      </c>
      <c r="C325" s="127" t="s">
        <v>287</v>
      </c>
      <c r="D325" s="122" t="s">
        <v>265</v>
      </c>
      <c r="E325" s="123" t="s">
        <v>28</v>
      </c>
      <c r="F325" s="86"/>
      <c r="G325" s="124">
        <v>50000</v>
      </c>
      <c r="H325" s="78">
        <f t="shared" si="4"/>
        <v>1527197</v>
      </c>
    </row>
    <row r="326" spans="2:10" ht="17.100000000000001" customHeight="1" x14ac:dyDescent="0.25">
      <c r="B326" s="72">
        <v>46202</v>
      </c>
      <c r="C326" s="127" t="s">
        <v>285</v>
      </c>
      <c r="D326" s="122" t="s">
        <v>266</v>
      </c>
      <c r="E326" s="123" t="s">
        <v>28</v>
      </c>
      <c r="F326" s="86"/>
      <c r="G326" s="124">
        <v>50000</v>
      </c>
      <c r="H326" s="78">
        <f t="shared" si="4"/>
        <v>1477197</v>
      </c>
    </row>
    <row r="327" spans="2:10" ht="17.100000000000001" customHeight="1" x14ac:dyDescent="0.25">
      <c r="B327" s="72">
        <v>46202</v>
      </c>
      <c r="C327" s="125" t="s">
        <v>275</v>
      </c>
      <c r="D327" s="122" t="s">
        <v>267</v>
      </c>
      <c r="E327" s="123" t="s">
        <v>264</v>
      </c>
      <c r="F327" s="86"/>
      <c r="G327" s="124">
        <v>80000</v>
      </c>
      <c r="H327" s="78">
        <f t="shared" si="4"/>
        <v>1397197</v>
      </c>
    </row>
    <row r="328" spans="2:10" ht="17.100000000000001" customHeight="1" x14ac:dyDescent="0.25">
      <c r="B328" s="72">
        <v>46203</v>
      </c>
      <c r="C328" s="73" t="s">
        <v>44</v>
      </c>
      <c r="D328" s="122" t="s">
        <v>268</v>
      </c>
      <c r="E328" s="123" t="s">
        <v>236</v>
      </c>
      <c r="F328" s="86"/>
      <c r="G328" s="124">
        <v>130000</v>
      </c>
      <c r="H328" s="78">
        <f t="shared" si="4"/>
        <v>1267197</v>
      </c>
    </row>
    <row r="329" spans="2:10" ht="17.100000000000001" customHeight="1" x14ac:dyDescent="0.25">
      <c r="B329" s="72">
        <v>46203</v>
      </c>
      <c r="C329" s="73" t="s">
        <v>22</v>
      </c>
      <c r="D329" s="74" t="s">
        <v>29</v>
      </c>
      <c r="E329" s="75" t="s">
        <v>23</v>
      </c>
      <c r="F329" s="84"/>
      <c r="G329" s="77">
        <v>25000</v>
      </c>
      <c r="H329" s="78">
        <f t="shared" si="4"/>
        <v>1242197</v>
      </c>
    </row>
    <row r="330" spans="2:10" ht="17.100000000000001" customHeight="1" x14ac:dyDescent="0.25">
      <c r="B330" s="72">
        <v>46203</v>
      </c>
      <c r="C330" s="81" t="s">
        <v>18</v>
      </c>
      <c r="D330" s="82" t="s">
        <v>24</v>
      </c>
      <c r="E330" s="75" t="s">
        <v>23</v>
      </c>
      <c r="F330" s="84"/>
      <c r="G330" s="77">
        <v>25000</v>
      </c>
      <c r="H330" s="78">
        <f t="shared" si="4"/>
        <v>1217197</v>
      </c>
    </row>
    <row r="331" spans="2:10" ht="17.100000000000001" customHeight="1" x14ac:dyDescent="0.25">
      <c r="B331" s="72">
        <v>46203</v>
      </c>
      <c r="C331" s="73" t="s">
        <v>19</v>
      </c>
      <c r="D331" s="83" t="s">
        <v>119</v>
      </c>
      <c r="E331" s="75" t="s">
        <v>23</v>
      </c>
      <c r="F331" s="84"/>
      <c r="G331" s="77">
        <v>50000</v>
      </c>
      <c r="H331" s="78">
        <f t="shared" si="4"/>
        <v>1167197</v>
      </c>
    </row>
    <row r="332" spans="2:10" ht="17.100000000000001" customHeight="1" x14ac:dyDescent="0.25">
      <c r="B332" s="72">
        <v>46203</v>
      </c>
      <c r="C332" s="81" t="s">
        <v>30</v>
      </c>
      <c r="D332" s="74" t="s">
        <v>31</v>
      </c>
      <c r="E332" s="75" t="s">
        <v>32</v>
      </c>
      <c r="F332" s="84"/>
      <c r="G332" s="77">
        <v>25000</v>
      </c>
      <c r="H332" s="78">
        <f t="shared" si="4"/>
        <v>1142197</v>
      </c>
      <c r="J332" s="80"/>
    </row>
    <row r="333" spans="2:10" ht="17.100000000000001" customHeight="1" x14ac:dyDescent="0.25">
      <c r="B333" s="72">
        <v>46203</v>
      </c>
      <c r="C333" s="73" t="s">
        <v>18</v>
      </c>
      <c r="D333" s="74" t="s">
        <v>38</v>
      </c>
      <c r="E333" s="75" t="s">
        <v>32</v>
      </c>
      <c r="F333" s="84"/>
      <c r="G333" s="77">
        <v>25000</v>
      </c>
      <c r="H333" s="78">
        <f t="shared" si="4"/>
        <v>1117197</v>
      </c>
    </row>
    <row r="334" spans="2:10" ht="17.100000000000001" customHeight="1" x14ac:dyDescent="0.25">
      <c r="B334" s="72">
        <v>46203</v>
      </c>
      <c r="C334" s="81" t="s">
        <v>19</v>
      </c>
      <c r="D334" s="82" t="s">
        <v>178</v>
      </c>
      <c r="E334" s="75" t="s">
        <v>32</v>
      </c>
      <c r="F334" s="84"/>
      <c r="G334" s="77">
        <v>50000</v>
      </c>
      <c r="H334" s="78">
        <f t="shared" ref="H334:H342" si="5">H333+F334-G334</f>
        <v>1067197</v>
      </c>
    </row>
    <row r="335" spans="2:10" ht="17.100000000000001" customHeight="1" x14ac:dyDescent="0.25">
      <c r="B335" s="72">
        <v>46203</v>
      </c>
      <c r="C335" s="81" t="s">
        <v>47</v>
      </c>
      <c r="D335" s="74" t="s">
        <v>216</v>
      </c>
      <c r="E335" s="75" t="s">
        <v>21</v>
      </c>
      <c r="F335" s="84"/>
      <c r="G335" s="77">
        <v>25000</v>
      </c>
      <c r="H335" s="78">
        <f t="shared" si="5"/>
        <v>1042197</v>
      </c>
    </row>
    <row r="336" spans="2:10" ht="17.100000000000001" customHeight="1" x14ac:dyDescent="0.25">
      <c r="B336" s="72">
        <v>46203</v>
      </c>
      <c r="C336" s="73" t="s">
        <v>18</v>
      </c>
      <c r="D336" s="74" t="s">
        <v>46</v>
      </c>
      <c r="E336" s="75" t="s">
        <v>21</v>
      </c>
      <c r="F336" s="84"/>
      <c r="G336" s="77">
        <v>25000</v>
      </c>
      <c r="H336" s="78">
        <f t="shared" si="5"/>
        <v>1017197</v>
      </c>
    </row>
    <row r="337" spans="2:10" ht="17.100000000000001" customHeight="1" x14ac:dyDescent="0.25">
      <c r="B337" s="72">
        <v>46203</v>
      </c>
      <c r="C337" s="81" t="s">
        <v>19</v>
      </c>
      <c r="D337" s="82" t="s">
        <v>208</v>
      </c>
      <c r="E337" s="123" t="s">
        <v>21</v>
      </c>
      <c r="F337" s="86"/>
      <c r="G337" s="124">
        <v>50000</v>
      </c>
      <c r="H337" s="78">
        <f t="shared" si="5"/>
        <v>967197</v>
      </c>
    </row>
    <row r="338" spans="2:10" ht="17.100000000000001" customHeight="1" x14ac:dyDescent="0.25">
      <c r="B338" s="72">
        <v>46203</v>
      </c>
      <c r="C338" s="73" t="s">
        <v>37</v>
      </c>
      <c r="D338" s="83" t="s">
        <v>39</v>
      </c>
      <c r="E338" s="75" t="s">
        <v>42</v>
      </c>
      <c r="F338" s="84"/>
      <c r="G338" s="77">
        <v>25000</v>
      </c>
      <c r="H338" s="78">
        <f t="shared" si="5"/>
        <v>942197</v>
      </c>
    </row>
    <row r="339" spans="2:10" ht="17.100000000000001" customHeight="1" x14ac:dyDescent="0.25">
      <c r="B339" s="72">
        <v>46203</v>
      </c>
      <c r="C339" s="73" t="s">
        <v>18</v>
      </c>
      <c r="D339" s="74" t="s">
        <v>232</v>
      </c>
      <c r="E339" s="75" t="s">
        <v>42</v>
      </c>
      <c r="F339" s="84"/>
      <c r="G339" s="77">
        <v>25000</v>
      </c>
      <c r="H339" s="78">
        <f t="shared" si="5"/>
        <v>917197</v>
      </c>
    </row>
    <row r="340" spans="2:10" ht="17.100000000000001" customHeight="1" x14ac:dyDescent="0.25">
      <c r="B340" s="72">
        <v>46203</v>
      </c>
      <c r="C340" s="125" t="s">
        <v>274</v>
      </c>
      <c r="D340" s="122" t="s">
        <v>269</v>
      </c>
      <c r="E340" s="123" t="s">
        <v>264</v>
      </c>
      <c r="F340" s="86"/>
      <c r="G340" s="124">
        <v>149400</v>
      </c>
      <c r="H340" s="78">
        <f t="shared" si="5"/>
        <v>767797</v>
      </c>
    </row>
    <row r="341" spans="2:10" ht="17.100000000000001" customHeight="1" x14ac:dyDescent="0.25">
      <c r="B341" s="72">
        <v>46203</v>
      </c>
      <c r="C341" s="73" t="s">
        <v>184</v>
      </c>
      <c r="D341" s="122" t="s">
        <v>270</v>
      </c>
      <c r="E341" s="123" t="s">
        <v>143</v>
      </c>
      <c r="F341" s="86"/>
      <c r="G341" s="124">
        <v>120000</v>
      </c>
      <c r="H341" s="78">
        <f t="shared" si="5"/>
        <v>647797</v>
      </c>
    </row>
    <row r="342" spans="2:10" ht="17.100000000000001" customHeight="1" x14ac:dyDescent="0.25">
      <c r="B342" s="72"/>
      <c r="C342" s="121"/>
      <c r="D342" s="122"/>
      <c r="E342" s="123"/>
      <c r="F342" s="86"/>
      <c r="G342" s="124"/>
      <c r="H342" s="78">
        <f t="shared" si="5"/>
        <v>647797</v>
      </c>
    </row>
    <row r="343" spans="2:10" ht="17.100000000000001" customHeight="1" x14ac:dyDescent="0.25">
      <c r="J343" s="80"/>
    </row>
    <row r="524" spans="10:10" ht="17.100000000000001" customHeight="1" x14ac:dyDescent="0.25">
      <c r="J524" s="80" t="e">
        <f>#REF!+'KAS SAYUR 2026'!#REF!</f>
        <v>#REF!</v>
      </c>
    </row>
  </sheetData>
  <autoFilter ref="C8:H342" xr:uid="{00000000-0001-0000-0100-000000000000}"/>
  <mergeCells count="7">
    <mergeCell ref="B2:H3"/>
    <mergeCell ref="E6:E7"/>
    <mergeCell ref="F6:F7"/>
    <mergeCell ref="G6:G7"/>
    <mergeCell ref="B4:H4"/>
    <mergeCell ref="B6:B7"/>
    <mergeCell ref="H6:H7"/>
  </mergeCells>
  <phoneticPr fontId="16" type="noConversion"/>
  <pageMargins left="0.12" right="0.12" top="0.12" bottom="0.12" header="0.3" footer="0.3"/>
  <pageSetup paperSize="9" scale="4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KAS SAYUR 2026</vt:lpstr>
      <vt:lpstr>KAS KEBUN JUNI 26</vt:lpstr>
      <vt:lpstr>'KAS KEBUN JUNI 26'!Print_Area</vt:lpstr>
      <vt:lpstr>'KAS SAYUR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2026-07-09T02:55:04Z</cp:lastPrinted>
  <dcterms:created xsi:type="dcterms:W3CDTF">2024-05-01T08:36:00Z</dcterms:created>
  <dcterms:modified xsi:type="dcterms:W3CDTF">2026-07-16T07:24:43Z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90B9DF497D264E39936C0B9707CBD009_12</vt:lpwstr>
  </property>
  <property fmtid="{D5CDD505-2E9C-101B-9397-08002B2CF9AE}" pid="3" name="KSOProductBuildVer">
    <vt:lpwstr>1033-12.2.0.13472</vt:lpwstr>
  </property>
</Properties>
</file>