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5CA8C10-7E85-4210-A637-A73F2B63B38C}" xr6:coauthVersionLast="47" xr6:coauthVersionMax="47" xr10:uidLastSave="{00000000-0000-0000-0000-000000000000}"/>
  <bookViews>
    <workbookView xWindow="-120" yWindow="-120" windowWidth="20730" windowHeight="11160" tabRatio="603" activeTab="1" xr2:uid="{00000000-000D-0000-FFFF-FFFF00000000}"/>
  </bookViews>
  <sheets>
    <sheet name="KAS SAYUR 2026" sheetId="1" r:id="rId1"/>
    <sheet name="KAS KEBUN JULI 26" sheetId="2" r:id="rId2"/>
  </sheets>
  <definedNames>
    <definedName name="_xlnm._FilterDatabase" localSheetId="1" hidden="1">'KAS KEBUN JULI 26'!$C$8:$H$293</definedName>
    <definedName name="_xlnm.Print_Area" localSheetId="1">'KAS KEBUN JULI 26'!$B$1:$H$226</definedName>
    <definedName name="_xlnm.Print_Area" localSheetId="0">'KAS SAYUR 2026'!$B$1:$H$56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37" i="2" l="1"/>
  <c r="H231" i="2"/>
  <c r="H232" i="2" s="1"/>
  <c r="H233" i="2" s="1"/>
  <c r="H41" i="1" l="1"/>
  <c r="H34" i="1"/>
  <c r="H35" i="1" s="1"/>
  <c r="H36" i="1" s="1"/>
  <c r="H37" i="1" s="1"/>
  <c r="H38" i="1" s="1"/>
  <c r="H39" i="1" s="1"/>
  <c r="H40" i="1" s="1"/>
  <c r="H33" i="1"/>
  <c r="G207" i="2"/>
  <c r="H175" i="2"/>
  <c r="H176" i="2" s="1"/>
  <c r="H177" i="2" s="1"/>
  <c r="H178" i="2" s="1"/>
  <c r="H179" i="2" s="1"/>
  <c r="H180" i="2" s="1"/>
  <c r="H181" i="2" l="1"/>
  <c r="H182" i="2"/>
  <c r="H183" i="2" s="1"/>
  <c r="H184" i="2" s="1"/>
  <c r="H185" i="2" s="1"/>
  <c r="H186" i="2" s="1"/>
  <c r="H187" i="2" s="1"/>
  <c r="H188" i="2" s="1"/>
  <c r="H189" i="2" s="1"/>
  <c r="H190" i="2" s="1"/>
  <c r="H191" i="2" s="1"/>
  <c r="H192" i="2" s="1"/>
  <c r="H193" i="2" s="1"/>
  <c r="H194" i="2" s="1"/>
  <c r="H195" i="2" s="1"/>
  <c r="H196" i="2" s="1"/>
  <c r="H197" i="2" s="1"/>
  <c r="H198" i="2" s="1"/>
  <c r="H199" i="2" s="1"/>
  <c r="H200" i="2" s="1"/>
  <c r="H201" i="2" s="1"/>
  <c r="H202" i="2" s="1"/>
  <c r="H203" i="2" s="1"/>
  <c r="H204" i="2" s="1"/>
  <c r="H205" i="2" s="1"/>
  <c r="H11" i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9" i="2"/>
  <c r="H10" i="2" s="1"/>
  <c r="H11" i="2" s="1"/>
  <c r="H12" i="2" s="1"/>
  <c r="H13" i="2" s="1"/>
  <c r="H14" i="2" s="1"/>
  <c r="H15" i="2" s="1"/>
  <c r="H16" i="2" s="1"/>
  <c r="H17" i="2" s="1"/>
  <c r="H206" i="2" l="1"/>
  <c r="H207" i="2" s="1"/>
  <c r="H208" i="2" s="1"/>
  <c r="H209" i="2" s="1"/>
  <c r="H210" i="2" s="1"/>
  <c r="H211" i="2" s="1"/>
  <c r="H212" i="2" s="1"/>
  <c r="H213" i="2" s="1"/>
  <c r="H214" i="2" s="1"/>
  <c r="H215" i="2" s="1"/>
  <c r="H18" i="2"/>
  <c r="H19" i="2" s="1"/>
  <c r="H20" i="2" s="1"/>
  <c r="H21" i="2" s="1"/>
  <c r="H22" i="2" s="1"/>
  <c r="H23" i="2" s="1"/>
  <c r="H216" i="2" l="1"/>
  <c r="H217" i="2" s="1"/>
  <c r="H218" i="2" s="1"/>
  <c r="H219" i="2" s="1"/>
  <c r="H220" i="2" s="1"/>
  <c r="H221" i="2" s="1"/>
  <c r="H222" i="2" s="1"/>
  <c r="H223" i="2" s="1"/>
  <c r="H224" i="2" s="1"/>
  <c r="H225" i="2" s="1"/>
  <c r="H226" i="2" s="1"/>
  <c r="H227" i="2" s="1"/>
  <c r="H228" i="2" s="1"/>
  <c r="H229" i="2" s="1"/>
  <c r="H230" i="2" s="1"/>
  <c r="H234" i="2" s="1"/>
  <c r="H235" i="2" s="1"/>
  <c r="H236" i="2" s="1"/>
  <c r="H24" i="2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l="1"/>
  <c r="H55" i="2" s="1"/>
  <c r="H56" i="2" s="1"/>
  <c r="H57" i="2" l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l="1"/>
  <c r="H69" i="2" s="1"/>
  <c r="H70" i="2" s="1"/>
  <c r="H71" i="2" s="1"/>
  <c r="H72" i="2" s="1"/>
  <c r="H73" i="2" s="1"/>
  <c r="H74" i="2" s="1"/>
  <c r="H75" i="2" s="1"/>
  <c r="H76" i="2" l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l="1"/>
  <c r="H127" i="2" s="1"/>
  <c r="H128" i="2" s="1"/>
  <c r="H129" i="2" s="1"/>
  <c r="H130" i="2" s="1"/>
  <c r="H131" i="2" s="1"/>
  <c r="H132" i="2" s="1"/>
  <c r="H133" i="2" s="1"/>
  <c r="H134" i="2" s="1"/>
  <c r="H135" i="2" s="1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H154" i="2" s="1"/>
  <c r="H155" i="2" s="1"/>
  <c r="H156" i="2" s="1"/>
  <c r="H157" i="2" s="1"/>
  <c r="H158" i="2" s="1"/>
  <c r="H159" i="2" s="1"/>
  <c r="H160" i="2" s="1"/>
  <c r="H161" i="2" s="1"/>
  <c r="H162" i="2" s="1"/>
  <c r="H163" i="2" s="1"/>
  <c r="H164" i="2" s="1"/>
  <c r="H165" i="2" s="1"/>
  <c r="H166" i="2" s="1"/>
  <c r="H167" i="2" s="1"/>
  <c r="H168" i="2" s="1"/>
  <c r="H169" i="2" s="1"/>
  <c r="H170" i="2" s="1"/>
  <c r="H171" i="2" s="1"/>
  <c r="H172" i="2" s="1"/>
  <c r="H173" i="2" s="1"/>
  <c r="I26" i="1"/>
</calcChain>
</file>

<file path=xl/sharedStrings.xml><?xml version="1.0" encoding="utf-8"?>
<sst xmlns="http://schemas.openxmlformats.org/spreadsheetml/2006/main" count="803" uniqueCount="238">
  <si>
    <t>KAS - KEBUN TAYAN</t>
  </si>
  <si>
    <t>Penanggung Jawab : _______</t>
  </si>
  <si>
    <t>DATE</t>
  </si>
  <si>
    <t xml:space="preserve">KETERANGAN </t>
  </si>
  <si>
    <t>DEBIT</t>
  </si>
  <si>
    <t>KREDIT</t>
  </si>
  <si>
    <t>SALDO</t>
  </si>
  <si>
    <t>Dibuat oleh,</t>
  </si>
  <si>
    <t>Disetujui,</t>
  </si>
  <si>
    <t>Admin Staff</t>
  </si>
  <si>
    <t>Manager Site</t>
  </si>
  <si>
    <t>SALDO AWAL</t>
  </si>
  <si>
    <t>KAS - SAYUR</t>
  </si>
  <si>
    <t xml:space="preserve">PENANGGUNG JAWAB : MARGARET </t>
  </si>
  <si>
    <t>PENERIMA</t>
  </si>
  <si>
    <t>NO</t>
  </si>
  <si>
    <t>ACC</t>
  </si>
  <si>
    <t xml:space="preserve"> </t>
  </si>
  <si>
    <t>MARGARET</t>
  </si>
  <si>
    <t>NO. ACC</t>
  </si>
  <si>
    <t>PEMBELIAN DURIAN UNTUK PAK BENNY</t>
  </si>
  <si>
    <t>BIAYA KIRIM SPARE PART L300 02 BEARING BAMBU KE JAKARTA</t>
  </si>
  <si>
    <t>ERVINA</t>
  </si>
  <si>
    <t>1109.07.02</t>
  </si>
  <si>
    <t xml:space="preserve">UANG MAKAN AN PARNI 25.000 B 9908 PDD </t>
  </si>
  <si>
    <t>PARNI</t>
  </si>
  <si>
    <t>UANG GRADING PT ASL  25.000 B 9908 PDD</t>
  </si>
  <si>
    <t xml:space="preserve">UANG JANGKOS ASL 50.000 B 9908 PDD </t>
  </si>
  <si>
    <t>5102.04.05</t>
  </si>
  <si>
    <t>5101.09.02</t>
  </si>
  <si>
    <t>6200.17.02</t>
  </si>
  <si>
    <t>BULAN JULI 2026</t>
  </si>
  <si>
    <t>KAS MASUK</t>
  </si>
  <si>
    <t>1109.07.04</t>
  </si>
  <si>
    <t>DANANG</t>
  </si>
  <si>
    <t xml:space="preserve">   5102.04.05</t>
  </si>
  <si>
    <t>UANG MAKAN AN DANANG 25.000 B 9645 UVZ TGL 1 JULI 2026</t>
  </si>
  <si>
    <t>UANG GRADING PT ASL  25.000 B 9645 UVZ TGL 1 JULI 2026</t>
  </si>
  <si>
    <t>OPIK</t>
  </si>
  <si>
    <t>ADMIN TARIK UANG 20.000  DAN ADMIN BANK LAIN 2.500</t>
  </si>
  <si>
    <t xml:space="preserve">  1101.03</t>
  </si>
  <si>
    <t>BAYAR NOTA SAYUR BASAH DAN LAUK BASAH TGL 11 MEI 2026</t>
  </si>
  <si>
    <t>BAYAR NOTA SAYUR BASAH DAN LAUK BASAH TGL 05 MEI 2026</t>
  </si>
  <si>
    <t>BAYAR NOTA SAYUR BASAH DAN LAUK BASAH TGL 07 MEI 2026</t>
  </si>
  <si>
    <t>BAYAR NOTA SAYUR BASAH DAN LAUK BASAH TGL 09 MEI 2026</t>
  </si>
  <si>
    <t>ISI ULANG AIR GALON UNTUK DAPUR KANTOR 5 BH X 6000</t>
  </si>
  <si>
    <t>ATILA</t>
  </si>
  <si>
    <t>PEMBELIAN GAS 3 KG SEBANYAK 2 BH = 70.000 TGL 1 JULI 2026/ 35.000</t>
  </si>
  <si>
    <t>EKO</t>
  </si>
  <si>
    <t>EDI</t>
  </si>
  <si>
    <t>7100.03.01</t>
  </si>
  <si>
    <t>LUKAS</t>
  </si>
  <si>
    <t>CLAIM PERTALITE MOTOR KANTOR PONTIANAK B 3393 SOP TGL 19 DAN 22 JUNI 2026</t>
  </si>
  <si>
    <t>CLAIM MAKAN LUKAS BERSIHKAN RUMAH KELANTAN</t>
  </si>
  <si>
    <t>AKBAR</t>
  </si>
  <si>
    <t>PEMBAYARAN IURAN KEBERSIHAN KANTOR PALAPA BULAN MEI 2026 TGL 12 JUNI 2026</t>
  </si>
  <si>
    <t>PEMBUATAN KUNCI DUPLIKAT INNOVA DAN CJ 7 TGL 18 JUNI 2026</t>
  </si>
  <si>
    <t>PEMBELIAN SEAL RODA BELAKANG BAGIAN LUAR B 9804 PDD</t>
  </si>
  <si>
    <t>ANTON</t>
  </si>
  <si>
    <t>PEMBUATAN PLAT B 9953 PCL 1 BH</t>
  </si>
  <si>
    <t>CLAIM OLI MOTOR KB 6415 DV BULAN JULI 2026 AN ARYA MANDOR DIV 2</t>
  </si>
  <si>
    <t>ARYA</t>
  </si>
  <si>
    <t>PEMBELIAN PERTALITE 40 LITER UNTUK KANTOR</t>
  </si>
  <si>
    <t>SADRI</t>
  </si>
  <si>
    <t>CLAIM PERTALITE MOTOR KB 3691 RQ TGL 15 JUNI, 5,6 JULI 2026 OPERASIONAL DI KEBUN</t>
  </si>
  <si>
    <t>PEMBELIAN LAMPU 2 LED BULB 15W, 1 DUCK 14X24 METER UNTUK KANTOR</t>
  </si>
  <si>
    <t>UANG GRADING PT ASL  25.000 B 9804 PDD</t>
  </si>
  <si>
    <t xml:space="preserve">   5101.09.02</t>
  </si>
  <si>
    <t>UANG JANGKOS ASL 50.000 B 9804 PDD</t>
  </si>
  <si>
    <t>UANG MAKAN AN PUJI W 25.000 B 9804 PDD</t>
  </si>
  <si>
    <t>PUJI W</t>
  </si>
  <si>
    <t xml:space="preserve">UANG MAKAN AN DANANG 25.000 B 9645 UVZ </t>
  </si>
  <si>
    <t xml:space="preserve">UANG GRADING PT ASL  25.000 B 9645 UVZ </t>
  </si>
  <si>
    <t>PEMBELIAN PAKU UNTUK MESS KTU</t>
  </si>
  <si>
    <t>ROHMAN</t>
  </si>
  <si>
    <t>PEMBELIAN TINNER UNTUK MOBIL L300 02</t>
  </si>
  <si>
    <t>PEMBELIAN PERTALITE 15 LTER UNTUK MESIN BIBITAN</t>
  </si>
  <si>
    <t>UANG ES UNTUK BURUH MUAT PUPUK</t>
  </si>
  <si>
    <t>UANG MAKAN AN PUJI 125.000 KE KIJING ANGKUT PUPUK NPK 13 = 7500 KG B 9006 UDH</t>
  </si>
  <si>
    <t xml:space="preserve">UANG JANGKOS ASL 50.000 B 9645 UVZ </t>
  </si>
  <si>
    <t>EKO P</t>
  </si>
  <si>
    <t xml:space="preserve">   1109.07.03</t>
  </si>
  <si>
    <t>UANG MAKAN AN EKO PRASETYO 25.000 B 9906 PDD</t>
  </si>
  <si>
    <t>UANG GRADING PT ASL  25.000 B 9906 PDD</t>
  </si>
  <si>
    <t>UANG JANGKOS ASL 50.000 B 9906 PDD</t>
  </si>
  <si>
    <t xml:space="preserve">UANG JANGKOS ASL 50.000 B 9906 PDD </t>
  </si>
  <si>
    <t>UANG MAKAN AN PARNI 25.000 B 9908 PDD RIT 1</t>
  </si>
  <si>
    <t>UANG GRADING PT ASL  25.000 B 9908 PDD RIT 1</t>
  </si>
  <si>
    <t>UANG JANGKOS ASL 50.000 B 9908 PDD RIT 1</t>
  </si>
  <si>
    <t>UANG MAKAN AN PARNI 25.000 B 9908 PDD RIT 2</t>
  </si>
  <si>
    <t>UANG GRADING PT ASL  25.000 B 9908 PDD RIT 2</t>
  </si>
  <si>
    <t>UANG JANGKOS ASL 50.000 B 9908 PDD RIT 2</t>
  </si>
  <si>
    <t>UANG MAKAN ALIM KE PONTIANAK PERBAIKIN RANGE ROVER PAK BENNY</t>
  </si>
  <si>
    <t>UANG MAKAN ALIF KE PONTIANAK PERBAIKIN RANGE ROVER PAK BENNY</t>
  </si>
  <si>
    <t>ALIM</t>
  </si>
  <si>
    <t>ALIF</t>
  </si>
  <si>
    <t>ISI PERTALITE MOTOR ALIM KE PONTIANAK</t>
  </si>
  <si>
    <t>UANG MAKAN AN PARNI 25.000 B 9908 PDD</t>
  </si>
  <si>
    <t>UANG JANGKOS ASL 50.000 B 9908 PDD</t>
  </si>
  <si>
    <t xml:space="preserve"> 5101.09.02</t>
  </si>
  <si>
    <t xml:space="preserve"> 5102.04.05</t>
  </si>
  <si>
    <t xml:space="preserve"> 1109.07.03</t>
  </si>
  <si>
    <t>PEMBELIAN SPION KABIN MOBIL L300  02</t>
  </si>
  <si>
    <t>PETRUS</t>
  </si>
  <si>
    <t>ISI PERTAMAX MOBIL B 2471 BBG</t>
  </si>
  <si>
    <t>ISI TOKEN KANTOR PALAPA</t>
  </si>
  <si>
    <t>PEMBELIAN LAMPU KAMAR DAN FITTING PAK BENNY MASING2 4 BH</t>
  </si>
  <si>
    <t>UANG MAKAN AN HERI S 25.000 B 9804 PDD</t>
  </si>
  <si>
    <t>HERI S</t>
  </si>
  <si>
    <t>UANG MAKAN AN PUJI 125.000 KE KIJING ANGKUT PUPUK NPK 13 = 15.400 KG B 9841 GYT</t>
  </si>
  <si>
    <t>CLAIM PEMBELIAN KEPALA REGULATOR UNTUK MESS MANDOR</t>
  </si>
  <si>
    <t>UANG MAKAN AN HERI S KE PONTIANAK ANTAR MOBIL L300 02 B 9953 PCL</t>
  </si>
  <si>
    <t>UANG PERTALITE UNTUK MOTOR HERI S BALIK DARI PONTIANAK</t>
  </si>
  <si>
    <t>UANG MAKAN AN PUJI W S 25.000 B 9804 PDD</t>
  </si>
  <si>
    <t>GANTI OLI RANGE ROVER PAK BENNY</t>
  </si>
  <si>
    <t>ISI PERTALIE KB 4021 XH BAWA KE SANDAI</t>
  </si>
  <si>
    <t>ISI PERTALITE  MOTOR KLX MERAH KB 5848 XN BAWA KE SANDAI</t>
  </si>
  <si>
    <t>6200.17.01</t>
  </si>
  <si>
    <t>CLAIM BIAYA FORKLIF MUAT PUPUK KE HINO TGL 7 JULI 2026</t>
  </si>
  <si>
    <t>AHMAD</t>
  </si>
  <si>
    <t>BIAYA KIRIM SPARE PART KE PAK HERI JAKARTA</t>
  </si>
  <si>
    <t>ISI PERTALITE UNTUM MESIN POTONG RUMPUT TGL 2 JULI 2026</t>
  </si>
  <si>
    <t>ISI PERTALITE UNTUK MOTOR PONTIANAK TGL 4,6 JULI 2026</t>
  </si>
  <si>
    <t>PEMBELIAN ENGSEL BUBUT KUPING 22 MM PIX UNTUK KEBUN TAYAN</t>
  </si>
  <si>
    <t>PEMBELIAN SENTER KEPALA UNTUK KEBUN TAYAN</t>
  </si>
  <si>
    <t>PEMBELIAN STAND HP UNTUK MOBIL INNOVA TGL 6 JULI 2026</t>
  </si>
  <si>
    <t>PEMBELIAN MRK TERMINAL KUNINGAN UTNUK KANTOR KEBUN TGL 2 JULI 2026</t>
  </si>
  <si>
    <t>EVINA</t>
  </si>
  <si>
    <t>PEMBELIAN PERTALITE 15 LITER UNTUK MESIN BIBITAN</t>
  </si>
  <si>
    <t>CLAIM OLI BULAN JUNI 2026 AN ANTON MANDOR DIVISI 2 KB 4350 GB</t>
  </si>
  <si>
    <t>PEMBELIAN 2 SET CANGKUL UNTUK BIBITAN</t>
  </si>
  <si>
    <t>UANG GRADING PT ASL  50.000 B 9841 GYT</t>
  </si>
  <si>
    <t>UANG MAKAN AN PUJI W 25.000 B 9841 GYT</t>
  </si>
  <si>
    <t>PEMBUATAN STEMPEL PD ANEKA TEXTILE TGL 9 JULI 2026 UNTUK TRITON</t>
  </si>
  <si>
    <t>ISI BBM INNOVA FULL UNTUK BAWA KE KUCHING MALAYSIA BAWA PAK BENNY</t>
  </si>
  <si>
    <t>PEMBELIAN GRILL F70 HIJAU</t>
  </si>
  <si>
    <t>YANTO</t>
  </si>
  <si>
    <t xml:space="preserve">UANG GRADING PT ASL  25.000 B 9908 PDD </t>
  </si>
  <si>
    <t>ISI ULANG AIR GALON KANTOR PALAPA TGL 4 JULI 2026</t>
  </si>
  <si>
    <t>ISI ULANG AIR GALON KANTOR PALAPA TGL 6 JULI 2026</t>
  </si>
  <si>
    <t>BAYAR NOTA SAYUR BASAH DAN LAUK BASAH TGL 14 MEI 2026</t>
  </si>
  <si>
    <t>BAYAR NOTA SAYUR BASAH DAN LAUK BASAH TGL 18 MEI 2026</t>
  </si>
  <si>
    <t>BAYAR NOTA SAYUR BASAH DAN LAUK BASAH TGL 20 MEI 2026</t>
  </si>
  <si>
    <t>BAYAR NOTA MAKANAN KERING TGL 17 JUNI 2026</t>
  </si>
  <si>
    <t>BAYAR NOTA MAKANAN KERING TGL 18 JUNI 2026</t>
  </si>
  <si>
    <t>ISI ULANG GALON 6 BH/ 6000, GAS 3 KG 1 BH</t>
  </si>
  <si>
    <t>ISI ULANG GAS BRIGHT 12 KG 265.000, 1 BH GAS 3 KG 35.000, 4 BH ISI ULANG GALON 24.000</t>
  </si>
  <si>
    <t>HARRY</t>
  </si>
  <si>
    <t>BIAYA TAXI BAWA SPAREPART DARI PONTIANAK-KEBUN</t>
  </si>
  <si>
    <t>HERU</t>
  </si>
  <si>
    <t>CLAIM BIAYA MINUM MUAT BIBIT TGL 19 MEI, 9 JUNI 2026</t>
  </si>
  <si>
    <t>ISI ULANG GALON 6 BH/ 6000, GAS 3 KG 2 BH/ 74.000</t>
  </si>
  <si>
    <t xml:space="preserve">   6200.12.36</t>
  </si>
  <si>
    <t xml:space="preserve">   6200.12.38</t>
  </si>
  <si>
    <t>PEMBELIAN SARUNG JOK MOBIL HINO B 9841 GYT</t>
  </si>
  <si>
    <t>PEMBELIAN PENGHALANG SINAR MATAHARI UNTUK L300 02</t>
  </si>
  <si>
    <t xml:space="preserve">   6200.17.02</t>
  </si>
  <si>
    <t xml:space="preserve">   6200.11.01</t>
  </si>
  <si>
    <t>1109.09.05</t>
  </si>
  <si>
    <t xml:space="preserve">  6200.12.01</t>
  </si>
  <si>
    <t>1109.07.10</t>
  </si>
  <si>
    <t>1109.07.08</t>
  </si>
  <si>
    <t>1109.08.02</t>
  </si>
  <si>
    <t>1109.07.07</t>
  </si>
  <si>
    <t xml:space="preserve">   6200.11.04</t>
  </si>
  <si>
    <t xml:space="preserve">   6200.10.01</t>
  </si>
  <si>
    <t xml:space="preserve">   6200.12.14</t>
  </si>
  <si>
    <t>1109.07.05</t>
  </si>
  <si>
    <t>6200.12.09</t>
  </si>
  <si>
    <t>KIRIM DOKUMEN KE LAMPUNG TGL 6 JULI 2026</t>
  </si>
  <si>
    <t>PEMBAYARAN NOTA DI TB IKN PEMBELIAN PAKU, LAMPU, TERMINAL, FITING, STEKER U/ MESS KTU</t>
  </si>
  <si>
    <t xml:space="preserve">   1201.02.36</t>
  </si>
  <si>
    <t>PEMBELIAN KABEL UNTUK INSTALASI LISTRIK KEBUN</t>
  </si>
  <si>
    <t>PEMBELIAN ALUMINIUM TGL 8 JULI 2026 UNTUK KAMAR PAK BENNY</t>
  </si>
  <si>
    <t xml:space="preserve">   1201.02.01</t>
  </si>
  <si>
    <t xml:space="preserve">   6200.11.03</t>
  </si>
  <si>
    <t xml:space="preserve">   1106.14.02</t>
  </si>
  <si>
    <t>UANG MAKAN AN PUJI W 25.000 B 9006 UDH</t>
  </si>
  <si>
    <t>UANG GRADING PT ASL  50.000 B 9006 UDH</t>
  </si>
  <si>
    <t>ISI ULANG AIR GALON 4 BH/ 6000, GAS 1 BH 37.000</t>
  </si>
  <si>
    <t>PEMBELIAN BESI PINTU SLEADING KAMAR PAK BENNY DAN KAMAR TAMU</t>
  </si>
  <si>
    <t>6200,11,03</t>
  </si>
  <si>
    <t xml:space="preserve"> 6200.10.01</t>
  </si>
  <si>
    <t>ISI KUOTA PETRUS DI MALAYSIA TGL 11 JULI 2026</t>
  </si>
  <si>
    <t>BAYAR PENGINAPAN PETRUS DI MALAYSIA ANTAR PAK BENNY TGL  11 - 13 JULI 2026</t>
  </si>
  <si>
    <t>1201.02.01</t>
  </si>
  <si>
    <t>BAYAR TUKANG PERBAIKAN PINTU SLEDING KAMAR PAK BENNY DAN KAMAR TAMU</t>
  </si>
  <si>
    <t>FAHRI</t>
  </si>
  <si>
    <t>UANG MAKAN AN PARNI 25.000 B 9908 PDD TGL 16 JULI 2026</t>
  </si>
  <si>
    <t>UANG GRADING PT ASL  25.000 B 9908 PDD TGL 16 JULI 2026</t>
  </si>
  <si>
    <t>UANG JANGKOS ASL 50.000 B 9908 PDD TGL 16 JULI 2026</t>
  </si>
  <si>
    <t>UANG MAKAN AN DANANG 25.000 B 9645 UVZ TGL 16 JULI 2026</t>
  </si>
  <si>
    <t>UANG GRADING PT ASL  25.000 B 9645 UVZ TGL 16 JULI 2026</t>
  </si>
  <si>
    <t>UANG JANGKOS ASL 50.000 B 9645 UVZ TGL 16 JULI 2026</t>
  </si>
  <si>
    <t>UANG GRADING PT ASL  50.000 B 9804 PDD</t>
  </si>
  <si>
    <t>BAYAR PENGINAPAN PETRUS DI MALAYSIA ANTAR PAK BENNY TGL  13 - 15 JULI 2026</t>
  </si>
  <si>
    <t>1109.07.12</t>
  </si>
  <si>
    <t>BAYAR NOTA SAYUR BASAH DAN LAUK BASAH TGL 22 MEI 2026</t>
  </si>
  <si>
    <t>BAYAR NOTA SAYUR BASAH DAN LAUK BASAH TGL 24 MEI 2026</t>
  </si>
  <si>
    <t>BAYAR NOTA MAKANAN KERING TGL 19 JUNI 2026</t>
  </si>
  <si>
    <t>ISI ULANG AIR GALON 3 BH/ 6000, GAS 1 BH 37.000</t>
  </si>
  <si>
    <t>ISI ULANG AIR GALON 6 BH/ 6000, GAS 1 BH 37.000</t>
  </si>
  <si>
    <t>BAYAR PENGINAPAN PETRUS DI MALAYSIA ANTAR PAK BENNY TGL  15 - 16 JULI 2026</t>
  </si>
  <si>
    <t>BAYAR NOTA IKN TGL 15 JULI 2026 PEMBELIAN PENGGALI TANAH UNTUK TUKANG KANDANG AYAM</t>
  </si>
  <si>
    <t>TB IKN</t>
  </si>
  <si>
    <t>PEMBELIAN KERANJANG UNTUK SIMPAN BARANG SPAREPART DI GUDANG</t>
  </si>
  <si>
    <t>PEMBELIAN PIPA. ELBOW, LDD UNTUK MESS KTU</t>
  </si>
  <si>
    <t>ISI BBM INNOVA B 2471 BBG</t>
  </si>
  <si>
    <t>PEMBELIAN PERTALITE 50 LITER UNTUK KANTOR</t>
  </si>
  <si>
    <t xml:space="preserve"> 6200.11.01</t>
  </si>
  <si>
    <t>PEMBAYARAN PEMBELIAN STIKER KACA FILM UNTUK DT KEBUN</t>
  </si>
  <si>
    <t>PEMBAYARAN PERBAIKAN STABILIZER UNTUK DIV 2</t>
  </si>
  <si>
    <t xml:space="preserve">ISI PERTALITE MOTOR KANTOR PALAPA </t>
  </si>
  <si>
    <t>ISI ULANG AIR GALON UNTUK PALAPA</t>
  </si>
  <si>
    <t>PEMBELIAN GALON BARU DAN ISI 5 BH / 50.000</t>
  </si>
  <si>
    <t>PEMBELIAN AIR MINERAL UNTUK KAMAR PAK BENNY</t>
  </si>
  <si>
    <t>UANG SAKU AN PETRUS ANTAR L300 D 9186 VG KE KSP SEKADAU</t>
  </si>
  <si>
    <t>FEE ISI BBM ISI PERTALITE</t>
  </si>
  <si>
    <t>CLAIM MAKAN PAK BENNY DI PONTIANAK</t>
  </si>
  <si>
    <t xml:space="preserve">   1109,05,01</t>
  </si>
  <si>
    <t>1201,05,02</t>
  </si>
  <si>
    <t xml:space="preserve">   6200.12.02</t>
  </si>
  <si>
    <t xml:space="preserve"> 1201.02.36</t>
  </si>
  <si>
    <t xml:space="preserve">PARKIR MOTOR KANTOR PONTIANAK </t>
  </si>
  <si>
    <t>UANG MAKAN AN PARNI 25.000 B 9908 PDD TGL 16 JULI 2026 RIT 1</t>
  </si>
  <si>
    <t>UANG GRADING PT ASL  25.000 B 9908 PDD TGL 16 JULI 2026 RIT 1</t>
  </si>
  <si>
    <t>UANG JANGKOS ASL 50.000 B 9908 PDD TGL 16 JULI 2026 RIT 1</t>
  </si>
  <si>
    <t>UANG MAKAN AN PARNI 25.000 B 9908 PDD TGL 16 JULI 2026 RIT 2</t>
  </si>
  <si>
    <t>UANG GRADING PT ASL  25.000 B 9908 PDD TGL 16 JULI 2026 RIT 2</t>
  </si>
  <si>
    <t>UANG JANGKOS ASL 50.000 B 9908 PDD TGL 16 JULI 2026 RIT 2</t>
  </si>
  <si>
    <t>UANG MAKAN AN PUJI KE PONTIANAK AMBIL BERAS DAN SPAREPART B 9804 PDD</t>
  </si>
  <si>
    <t xml:space="preserve">ISI PERTALITE MOTOR KANTOR PALAPA 2X   </t>
  </si>
  <si>
    <t>REO</t>
  </si>
  <si>
    <t>CLAIM OLI MOTOR KB 3244 UP BULAN JULI 2026 MANDOR PRODUKSI DIV 1</t>
  </si>
  <si>
    <t xml:space="preserve"> 6200.11.04</t>
  </si>
  <si>
    <t>PEMBELIAN THINWALL DAN SARUNG TANGAN UNTUK PALAPA</t>
  </si>
  <si>
    <t>MAKAN SIANG PAK BENNY DI PALAPA</t>
  </si>
  <si>
    <t>6200.12.39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</si>
</sst>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&quot;Rp&quot;* #,##0.00_-;\-&quot;Rp&quot;* #,##0.00_-;_-&quot;Rp&quot;* &quot;-&quot;??_-;_-@_-"/>
    <numFmt numFmtId="166" formatCode="_(&quot;Rp&quot;* #,##0_);_(&quot;Rp&quot;* \(#,##0\);_(&quot;Rp&quot;* &quot;-&quot;_);_(@_)"/>
    <numFmt numFmtId="167" formatCode="_-&quot;Rp&quot;* #,##0_-;\-&quot;Rp&quot;* #,##0_-;_-&quot;Rp&quot;* &quot;-&quot;??_-;_-@_-"/>
    <numFmt numFmtId="168" formatCode="_(* #,##0_);_(* \(#,##0\);_(* &quot;-&quot;??_);_(@_)"/>
    <numFmt numFmtId="169" formatCode="[$-409]d\-mmm\-yyyy;@"/>
    <numFmt numFmtId="170" formatCode="_-* #,##0.00_-;\-* #,##0.00_-;_-* &quot;-&quot;??_-;_-@_-"/>
  </numFmts>
  <fonts count="29" x14ac:knownFonts="1">
    <font>
      <sz val="11"/>
      <color theme="1"/>
      <name val="Calibri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6"/>
      </left>
      <right/>
      <top style="thin">
        <color theme="6"/>
      </top>
      <bottom/>
      <diagonal/>
    </border>
  </borders>
  <cellStyleXfs count="12">
    <xf numFmtId="0" fontId="0" fillId="0" borderId="0"/>
    <xf numFmtId="167" fontId="7" fillId="0" borderId="0" applyFont="0" applyFill="0" applyBorder="0" applyAlignment="0" applyProtection="0">
      <alignment vertical="center"/>
    </xf>
    <xf numFmtId="165" fontId="8" fillId="0" borderId="0" applyFont="0" applyFill="0" applyBorder="0" applyAlignment="0" applyProtection="0"/>
    <xf numFmtId="0" fontId="6" fillId="0" borderId="0"/>
    <xf numFmtId="164" fontId="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1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8" fillId="0" borderId="0"/>
    <xf numFmtId="170" fontId="28" fillId="0" borderId="0" applyFont="0" applyFill="0" applyBorder="0" applyAlignment="0" applyProtection="0"/>
    <xf numFmtId="164" fontId="28" fillId="0" borderId="0" applyFont="0" applyFill="0" applyBorder="0" applyAlignment="0" applyProtection="0"/>
  </cellStyleXfs>
  <cellXfs count="151">
    <xf numFmtId="0" fontId="0" fillId="0" borderId="0" xfId="0"/>
    <xf numFmtId="0" fontId="5" fillId="0" borderId="0" xfId="0" applyFont="1"/>
    <xf numFmtId="0" fontId="12" fillId="0" borderId="0" xfId="0" applyFont="1"/>
    <xf numFmtId="0" fontId="15" fillId="0" borderId="0" xfId="0" applyFont="1"/>
    <xf numFmtId="168" fontId="15" fillId="0" borderId="0" xfId="0" applyNumberFormat="1" applyFont="1"/>
    <xf numFmtId="168" fontId="15" fillId="0" borderId="0" xfId="0" applyNumberFormat="1" applyFont="1" applyAlignment="1">
      <alignment horizontal="center"/>
    </xf>
    <xf numFmtId="0" fontId="16" fillId="2" borderId="4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5" fillId="0" borderId="4" xfId="0" applyFont="1" applyBorder="1"/>
    <xf numFmtId="0" fontId="12" fillId="0" borderId="4" xfId="0" applyFont="1" applyBorder="1"/>
    <xf numFmtId="168" fontId="12" fillId="0" borderId="3" xfId="0" applyNumberFormat="1" applyFont="1" applyBorder="1" applyAlignment="1">
      <alignment horizontal="center" vertical="center"/>
    </xf>
    <xf numFmtId="0" fontId="17" fillId="0" borderId="0" xfId="0" applyFont="1"/>
    <xf numFmtId="168" fontId="17" fillId="0" borderId="0" xfId="0" applyNumberFormat="1" applyFont="1" applyAlignment="1">
      <alignment horizontal="left"/>
    </xf>
    <xf numFmtId="168" fontId="15" fillId="0" borderId="0" xfId="0" applyNumberFormat="1" applyFont="1" applyAlignment="1">
      <alignment horizontal="left"/>
    </xf>
    <xf numFmtId="0" fontId="12" fillId="0" borderId="0" xfId="0" applyFont="1" applyAlignment="1">
      <alignment horizontal="center"/>
    </xf>
    <xf numFmtId="0" fontId="4" fillId="0" borderId="0" xfId="0" applyFont="1"/>
    <xf numFmtId="168" fontId="12" fillId="0" borderId="0" xfId="0" applyNumberFormat="1" applyFont="1"/>
    <xf numFmtId="0" fontId="16" fillId="0" borderId="3" xfId="0" applyFont="1" applyBorder="1" applyAlignment="1">
      <alignment horizontal="center" vertical="center" wrapText="1"/>
    </xf>
    <xf numFmtId="168" fontId="13" fillId="0" borderId="0" xfId="6" applyNumberFormat="1" applyFont="1" applyFill="1" applyAlignment="1">
      <alignment horizontal="right" vertical="center"/>
    </xf>
    <xf numFmtId="168" fontId="15" fillId="0" borderId="0" xfId="6" applyNumberFormat="1" applyFont="1" applyFill="1" applyAlignment="1"/>
    <xf numFmtId="168" fontId="16" fillId="2" borderId="4" xfId="6" applyNumberFormat="1" applyFont="1" applyFill="1" applyBorder="1" applyAlignment="1">
      <alignment horizontal="center" vertical="center" wrapText="1"/>
    </xf>
    <xf numFmtId="168" fontId="16" fillId="0" borderId="4" xfId="6" applyNumberFormat="1" applyFont="1" applyFill="1" applyBorder="1" applyAlignment="1">
      <alignment horizontal="center" vertical="center" wrapText="1"/>
    </xf>
    <xf numFmtId="168" fontId="5" fillId="0" borderId="4" xfId="6" applyNumberFormat="1" applyFont="1" applyFill="1" applyBorder="1" applyAlignment="1"/>
    <xf numFmtId="168" fontId="12" fillId="0" borderId="0" xfId="6" applyNumberFormat="1" applyFont="1" applyFill="1" applyAlignment="1"/>
    <xf numFmtId="168" fontId="15" fillId="0" borderId="0" xfId="6" applyNumberFormat="1" applyFont="1" applyFill="1" applyAlignment="1">
      <alignment horizontal="left"/>
    </xf>
    <xf numFmtId="168" fontId="15" fillId="0" borderId="0" xfId="6" applyNumberFormat="1" applyFont="1" applyFill="1" applyAlignment="1">
      <alignment horizontal="center"/>
    </xf>
    <xf numFmtId="166" fontId="15" fillId="0" borderId="0" xfId="0" applyNumberFormat="1" applyFont="1" applyAlignment="1">
      <alignment horizontal="center"/>
    </xf>
    <xf numFmtId="0" fontId="13" fillId="0" borderId="0" xfId="0" applyFont="1" applyAlignment="1">
      <alignment horizontal="center" vertical="center"/>
    </xf>
    <xf numFmtId="168" fontId="13" fillId="0" borderId="0" xfId="6" applyNumberFormat="1" applyFont="1" applyFill="1" applyAlignment="1">
      <alignment horizontal="center" vertical="center"/>
    </xf>
    <xf numFmtId="166" fontId="12" fillId="0" borderId="0" xfId="0" applyNumberFormat="1" applyFont="1"/>
    <xf numFmtId="164" fontId="4" fillId="0" borderId="5" xfId="4" applyFont="1" applyFill="1" applyBorder="1" applyAlignment="1"/>
    <xf numFmtId="168" fontId="4" fillId="0" borderId="0" xfId="0" applyNumberFormat="1" applyFont="1"/>
    <xf numFmtId="0" fontId="4" fillId="0" borderId="10" xfId="3" applyFont="1" applyBorder="1" applyAlignment="1">
      <alignment horizontal="center" vertical="center"/>
    </xf>
    <xf numFmtId="168" fontId="13" fillId="0" borderId="0" xfId="0" applyNumberFormat="1" applyFont="1" applyAlignment="1">
      <alignment horizontal="center" vertical="center"/>
    </xf>
    <xf numFmtId="168" fontId="14" fillId="0" borderId="0" xfId="0" applyNumberFormat="1" applyFont="1" applyAlignment="1">
      <alignment horizontal="right" vertical="center"/>
    </xf>
    <xf numFmtId="168" fontId="16" fillId="2" borderId="4" xfId="0" applyNumberFormat="1" applyFont="1" applyFill="1" applyBorder="1" applyAlignment="1">
      <alignment horizontal="center" vertical="center" wrapText="1"/>
    </xf>
    <xf numFmtId="168" fontId="16" fillId="0" borderId="4" xfId="0" applyNumberFormat="1" applyFont="1" applyBorder="1" applyAlignment="1">
      <alignment horizontal="center" vertical="center" wrapText="1"/>
    </xf>
    <xf numFmtId="168" fontId="12" fillId="0" borderId="4" xfId="0" applyNumberFormat="1" applyFont="1" applyBorder="1" applyAlignment="1">
      <alignment horizontal="center" vertical="center" wrapText="1"/>
    </xf>
    <xf numFmtId="0" fontId="16" fillId="0" borderId="0" xfId="0" applyFont="1"/>
    <xf numFmtId="168" fontId="16" fillId="0" borderId="0" xfId="6" applyNumberFormat="1" applyFont="1" applyFill="1" applyAlignment="1"/>
    <xf numFmtId="168" fontId="16" fillId="0" borderId="0" xfId="0" applyNumberFormat="1" applyFont="1"/>
    <xf numFmtId="0" fontId="16" fillId="0" borderId="0" xfId="0" applyFont="1" applyAlignment="1">
      <alignment horizontal="center"/>
    </xf>
    <xf numFmtId="0" fontId="19" fillId="0" borderId="4" xfId="0" applyFont="1" applyBorder="1"/>
    <xf numFmtId="168" fontId="19" fillId="0" borderId="4" xfId="6" applyNumberFormat="1" applyFont="1" applyFill="1" applyBorder="1" applyAlignment="1"/>
    <xf numFmtId="168" fontId="16" fillId="0" borderId="0" xfId="6" applyNumberFormat="1" applyFont="1"/>
    <xf numFmtId="0" fontId="0" fillId="0" borderId="4" xfId="0" applyBorder="1" applyAlignment="1">
      <alignment horizontal="center" vertical="center"/>
    </xf>
    <xf numFmtId="169" fontId="5" fillId="0" borderId="4" xfId="0" quotePrefix="1" applyNumberFormat="1" applyFont="1" applyBorder="1" applyAlignment="1">
      <alignment horizontal="center" wrapText="1"/>
    </xf>
    <xf numFmtId="169" fontId="19" fillId="0" borderId="4" xfId="0" quotePrefix="1" applyNumberFormat="1" applyFont="1" applyBorder="1" applyAlignment="1">
      <alignment horizontal="center" wrapText="1"/>
    </xf>
    <xf numFmtId="0" fontId="16" fillId="2" borderId="1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/>
    </xf>
    <xf numFmtId="168" fontId="16" fillId="0" borderId="4" xfId="6" applyNumberFormat="1" applyFont="1" applyBorder="1"/>
    <xf numFmtId="0" fontId="12" fillId="0" borderId="0" xfId="0" applyFont="1" applyAlignment="1">
      <alignment horizontal="center" vertical="center"/>
    </xf>
    <xf numFmtId="168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8" fontId="12" fillId="0" borderId="0" xfId="6" applyNumberFormat="1" applyFont="1"/>
    <xf numFmtId="0" fontId="21" fillId="0" borderId="0" xfId="0" applyFont="1" applyAlignment="1">
      <alignment horizontal="left"/>
    </xf>
    <xf numFmtId="168" fontId="21" fillId="0" borderId="0" xfId="0" applyNumberFormat="1" applyFont="1" applyAlignment="1">
      <alignment horizontal="left"/>
    </xf>
    <xf numFmtId="169" fontId="22" fillId="0" borderId="4" xfId="0" quotePrefix="1" applyNumberFormat="1" applyFont="1" applyBorder="1" applyAlignment="1">
      <alignment horizontal="center" vertical="center" wrapText="1"/>
    </xf>
    <xf numFmtId="0" fontId="21" fillId="0" borderId="3" xfId="3" applyFont="1" applyBorder="1" applyAlignment="1">
      <alignment horizontal="center" wrapText="1"/>
    </xf>
    <xf numFmtId="0" fontId="24" fillId="0" borderId="12" xfId="3" applyFont="1" applyBorder="1" applyAlignment="1">
      <alignment horizontal="center" vertical="center" wrapText="1"/>
    </xf>
    <xf numFmtId="164" fontId="24" fillId="0" borderId="6" xfId="4" applyFont="1" applyFill="1" applyBorder="1" applyAlignment="1">
      <alignment horizontal="left" vertical="center" wrapText="1"/>
    </xf>
    <xf numFmtId="168" fontId="24" fillId="0" borderId="4" xfId="6" applyNumberFormat="1" applyFont="1" applyFill="1" applyBorder="1" applyAlignment="1">
      <alignment horizontal="left" vertical="center" wrapText="1"/>
    </xf>
    <xf numFmtId="168" fontId="21" fillId="0" borderId="6" xfId="0" applyNumberFormat="1" applyFont="1" applyBorder="1" applyAlignment="1">
      <alignment horizontal="left"/>
    </xf>
    <xf numFmtId="169" fontId="25" fillId="0" borderId="4" xfId="0" quotePrefix="1" applyNumberFormat="1" applyFont="1" applyBorder="1" applyAlignment="1">
      <alignment horizontal="center" vertical="center" wrapText="1"/>
    </xf>
    <xf numFmtId="0" fontId="24" fillId="0" borderId="3" xfId="3" applyFont="1" applyBorder="1" applyAlignment="1">
      <alignment horizontal="left" wrapText="1"/>
    </xf>
    <xf numFmtId="0" fontId="24" fillId="0" borderId="4" xfId="3" applyFont="1" applyBorder="1" applyAlignment="1">
      <alignment horizontal="center" vertical="center"/>
    </xf>
    <xf numFmtId="164" fontId="24" fillId="0" borderId="5" xfId="4" applyFont="1" applyFill="1" applyBorder="1" applyAlignment="1">
      <alignment horizontal="left"/>
    </xf>
    <xf numFmtId="168" fontId="24" fillId="0" borderId="5" xfId="6" applyNumberFormat="1" applyFont="1" applyFill="1" applyBorder="1" applyAlignment="1">
      <alignment horizontal="left"/>
    </xf>
    <xf numFmtId="168" fontId="24" fillId="0" borderId="6" xfId="0" applyNumberFormat="1" applyFont="1" applyBorder="1" applyAlignment="1">
      <alignment horizontal="left"/>
    </xf>
    <xf numFmtId="0" fontId="24" fillId="0" borderId="0" xfId="0" applyFont="1" applyAlignment="1">
      <alignment horizontal="left"/>
    </xf>
    <xf numFmtId="168" fontId="24" fillId="0" borderId="0" xfId="0" applyNumberFormat="1" applyFont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13" xfId="3" applyFont="1" applyBorder="1" applyAlignment="1">
      <alignment horizontal="left" wrapText="1"/>
    </xf>
    <xf numFmtId="164" fontId="24" fillId="0" borderId="11" xfId="4" applyFont="1" applyFill="1" applyBorder="1" applyAlignment="1">
      <alignment horizontal="left"/>
    </xf>
    <xf numFmtId="164" fontId="21" fillId="0" borderId="4" xfId="4" applyFont="1" applyFill="1" applyBorder="1" applyAlignment="1">
      <alignment horizontal="left"/>
    </xf>
    <xf numFmtId="164" fontId="24" fillId="0" borderId="4" xfId="4" applyFont="1" applyFill="1" applyBorder="1" applyAlignment="1">
      <alignment horizontal="left"/>
    </xf>
    <xf numFmtId="0" fontId="21" fillId="0" borderId="4" xfId="3" applyFont="1" applyBorder="1" applyAlignment="1">
      <alignment horizontal="center" vertical="center"/>
    </xf>
    <xf numFmtId="164" fontId="21" fillId="0" borderId="11" xfId="4" applyFont="1" applyFill="1" applyBorder="1" applyAlignment="1">
      <alignment horizontal="left"/>
    </xf>
    <xf numFmtId="168" fontId="21" fillId="0" borderId="5" xfId="6" applyNumberFormat="1" applyFont="1" applyFill="1" applyBorder="1" applyAlignment="1">
      <alignment horizontal="left"/>
    </xf>
    <xf numFmtId="0" fontId="24" fillId="0" borderId="14" xfId="3" applyFont="1" applyBorder="1" applyAlignment="1">
      <alignment horizontal="left" wrapText="1"/>
    </xf>
    <xf numFmtId="164" fontId="21" fillId="0" borderId="5" xfId="4" applyFont="1" applyFill="1" applyBorder="1" applyAlignment="1">
      <alignment horizontal="left"/>
    </xf>
    <xf numFmtId="168" fontId="24" fillId="0" borderId="11" xfId="6" applyNumberFormat="1" applyFont="1" applyFill="1" applyBorder="1" applyAlignment="1">
      <alignment horizontal="left"/>
    </xf>
    <xf numFmtId="0" fontId="24" fillId="0" borderId="2" xfId="3" applyFont="1" applyBorder="1" applyAlignment="1">
      <alignment horizontal="center" vertical="center"/>
    </xf>
    <xf numFmtId="164" fontId="24" fillId="0" borderId="0" xfId="4" applyFont="1" applyFill="1" applyAlignment="1">
      <alignment horizontal="left"/>
    </xf>
    <xf numFmtId="168" fontId="24" fillId="0" borderId="0" xfId="6" applyNumberFormat="1" applyFont="1" applyFill="1" applyAlignment="1">
      <alignment horizontal="left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21" fillId="0" borderId="3" xfId="0" applyFont="1" applyBorder="1" applyAlignment="1">
      <alignment horizontal="left"/>
    </xf>
    <xf numFmtId="168" fontId="12" fillId="0" borderId="3" xfId="6" applyNumberFormat="1" applyFont="1" applyBorder="1" applyAlignment="1">
      <alignment horizontal="center" vertical="center"/>
    </xf>
    <xf numFmtId="0" fontId="24" fillId="0" borderId="0" xfId="3" applyFont="1" applyAlignment="1">
      <alignment horizontal="center" vertical="center"/>
    </xf>
    <xf numFmtId="168" fontId="24" fillId="0" borderId="0" xfId="3" applyNumberFormat="1" applyFont="1" applyAlignment="1">
      <alignment horizontal="center"/>
    </xf>
    <xf numFmtId="168" fontId="24" fillId="0" borderId="0" xfId="3" applyNumberFormat="1" applyFont="1" applyAlignment="1">
      <alignment horizontal="left"/>
    </xf>
    <xf numFmtId="0" fontId="24" fillId="0" borderId="0" xfId="3" applyFont="1" applyAlignment="1">
      <alignment horizontal="left"/>
    </xf>
    <xf numFmtId="0" fontId="0" fillId="0" borderId="4" xfId="0" applyBorder="1"/>
    <xf numFmtId="168" fontId="5" fillId="0" borderId="0" xfId="6" applyNumberFormat="1" applyFont="1" applyFill="1" applyBorder="1" applyAlignment="1"/>
    <xf numFmtId="0" fontId="24" fillId="0" borderId="14" xfId="0" applyFont="1" applyBorder="1" applyAlignment="1">
      <alignment horizontal="left"/>
    </xf>
    <xf numFmtId="0" fontId="16" fillId="0" borderId="3" xfId="0" applyFont="1" applyBorder="1" applyAlignment="1">
      <alignment horizontal="center" vertical="center"/>
    </xf>
    <xf numFmtId="0" fontId="24" fillId="0" borderId="15" xfId="0" applyFont="1" applyBorder="1" applyAlignment="1">
      <alignment horizontal="left"/>
    </xf>
    <xf numFmtId="0" fontId="24" fillId="0" borderId="7" xfId="3" applyFont="1" applyBorder="1" applyAlignment="1">
      <alignment horizontal="center" vertical="center"/>
    </xf>
    <xf numFmtId="164" fontId="24" fillId="0" borderId="16" xfId="4" applyFont="1" applyFill="1" applyBorder="1" applyAlignment="1">
      <alignment horizontal="left"/>
    </xf>
    <xf numFmtId="168" fontId="24" fillId="0" borderId="17" xfId="6" applyNumberFormat="1" applyFont="1" applyFill="1" applyBorder="1" applyAlignment="1">
      <alignment horizontal="left"/>
    </xf>
    <xf numFmtId="0" fontId="24" fillId="0" borderId="4" xfId="0" applyFont="1" applyBorder="1" applyAlignment="1">
      <alignment horizontal="left"/>
    </xf>
    <xf numFmtId="0" fontId="24" fillId="0" borderId="4" xfId="0" applyFont="1" applyBorder="1" applyAlignment="1">
      <alignment horizontal="center"/>
    </xf>
    <xf numFmtId="168" fontId="24" fillId="0" borderId="4" xfId="6" applyNumberFormat="1" applyFont="1" applyFill="1" applyBorder="1" applyAlignment="1">
      <alignment horizontal="left"/>
    </xf>
    <xf numFmtId="0" fontId="21" fillId="0" borderId="13" xfId="3" applyFont="1" applyBorder="1" applyAlignment="1">
      <alignment horizontal="left" wrapText="1"/>
    </xf>
    <xf numFmtId="0" fontId="21" fillId="0" borderId="2" xfId="3" applyFont="1" applyBorder="1" applyAlignment="1">
      <alignment horizontal="center" vertical="center"/>
    </xf>
    <xf numFmtId="168" fontId="12" fillId="0" borderId="4" xfId="6" applyNumberFormat="1" applyFont="1" applyFill="1" applyBorder="1" applyAlignment="1"/>
    <xf numFmtId="164" fontId="27" fillId="0" borderId="5" xfId="4" applyFont="1" applyFill="1" applyBorder="1" applyAlignment="1"/>
    <xf numFmtId="0" fontId="24" fillId="0" borderId="3" xfId="3" applyFont="1" applyBorder="1" applyAlignment="1">
      <alignment vertical="top" wrapText="1"/>
    </xf>
    <xf numFmtId="0" fontId="2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1" fillId="4" borderId="4" xfId="3" applyFont="1" applyFill="1" applyBorder="1" applyAlignment="1">
      <alignment horizontal="center" vertical="center" wrapText="1"/>
    </xf>
    <xf numFmtId="0" fontId="21" fillId="4" borderId="4" xfId="3" applyFont="1" applyFill="1" applyBorder="1" applyAlignment="1">
      <alignment horizontal="center" wrapText="1"/>
    </xf>
    <xf numFmtId="0" fontId="24" fillId="0" borderId="0" xfId="0" applyFont="1" applyFill="1" applyAlignment="1">
      <alignment horizontal="left"/>
    </xf>
    <xf numFmtId="0" fontId="23" fillId="0" borderId="4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168" fontId="25" fillId="0" borderId="0" xfId="3" applyNumberFormat="1" applyFont="1" applyAlignment="1">
      <alignment horizontal="center"/>
    </xf>
    <xf numFmtId="0" fontId="22" fillId="4" borderId="7" xfId="3" applyFont="1" applyFill="1" applyBorder="1" applyAlignment="1">
      <alignment horizontal="center" wrapText="1"/>
    </xf>
    <xf numFmtId="0" fontId="22" fillId="4" borderId="6" xfId="3" applyFont="1" applyFill="1" applyBorder="1" applyAlignment="1">
      <alignment horizontal="center" wrapText="1"/>
    </xf>
    <xf numFmtId="0" fontId="25" fillId="0" borderId="4" xfId="3" quotePrefix="1" applyFont="1" applyBorder="1" applyAlignment="1">
      <alignment horizontal="center"/>
    </xf>
    <xf numFmtId="0" fontId="25" fillId="0" borderId="7" xfId="3" quotePrefix="1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5" fillId="0" borderId="18" xfId="6" applyNumberFormat="1" applyFont="1" applyBorder="1" applyAlignment="1">
      <alignment horizontal="center"/>
    </xf>
    <xf numFmtId="0" fontId="25" fillId="0" borderId="4" xfId="6" applyNumberFormat="1" applyFont="1" applyBorder="1" applyAlignment="1">
      <alignment horizontal="center"/>
    </xf>
    <xf numFmtId="0" fontId="22" fillId="0" borderId="4" xfId="3" quotePrefix="1" applyFont="1" applyBorder="1" applyAlignment="1">
      <alignment horizontal="center"/>
    </xf>
    <xf numFmtId="168" fontId="16" fillId="0" borderId="3" xfId="6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6" fillId="0" borderId="4" xfId="0" applyFont="1" applyFill="1" applyBorder="1" applyAlignment="1">
      <alignment vertical="center"/>
    </xf>
    <xf numFmtId="0" fontId="25" fillId="0" borderId="4" xfId="10" applyNumberFormat="1" applyFont="1" applyFill="1" applyBorder="1" applyAlignment="1">
      <alignment horizontal="left" vertical="center"/>
    </xf>
    <xf numFmtId="0" fontId="25" fillId="0" borderId="4" xfId="8" applyNumberFormat="1" applyFont="1" applyFill="1" applyBorder="1" applyAlignment="1">
      <alignment horizontal="center" vertical="center"/>
    </xf>
    <xf numFmtId="0" fontId="26" fillId="0" borderId="4" xfId="0" applyFont="1" applyBorder="1"/>
    <xf numFmtId="0" fontId="26" fillId="0" borderId="4" xfId="0" applyFont="1" applyBorder="1" applyAlignment="1">
      <alignment vertical="center"/>
    </xf>
    <xf numFmtId="0" fontId="9" fillId="3" borderId="0" xfId="3" applyFont="1" applyFill="1" applyAlignment="1">
      <alignment horizontal="center" vertical="center"/>
    </xf>
    <xf numFmtId="0" fontId="24" fillId="0" borderId="0" xfId="3" applyFont="1" applyAlignment="1">
      <alignment horizontal="center" vertical="center"/>
    </xf>
    <xf numFmtId="0" fontId="21" fillId="4" borderId="7" xfId="3" applyFont="1" applyFill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164" fontId="21" fillId="4" borderId="7" xfId="4" applyFont="1" applyFill="1" applyBorder="1" applyAlignment="1">
      <alignment horizontal="center" vertical="center" wrapText="1"/>
    </xf>
    <xf numFmtId="164" fontId="21" fillId="4" borderId="6" xfId="4" applyFont="1" applyFill="1" applyBorder="1" applyAlignment="1">
      <alignment horizontal="center" vertical="center" wrapText="1"/>
    </xf>
    <xf numFmtId="168" fontId="21" fillId="4" borderId="7" xfId="6" applyNumberFormat="1" applyFont="1" applyFill="1" applyBorder="1" applyAlignment="1">
      <alignment horizontal="center" vertical="center" wrapText="1"/>
    </xf>
    <xf numFmtId="168" fontId="21" fillId="4" borderId="6" xfId="6" applyNumberFormat="1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0" fontId="21" fillId="4" borderId="9" xfId="3" applyFont="1" applyFill="1" applyBorder="1" applyAlignment="1">
      <alignment horizontal="center" vertical="center" wrapText="1"/>
    </xf>
    <xf numFmtId="166" fontId="21" fillId="4" borderId="7" xfId="3" applyNumberFormat="1" applyFont="1" applyFill="1" applyBorder="1" applyAlignment="1">
      <alignment horizontal="center" vertical="center" wrapText="1"/>
    </xf>
    <xf numFmtId="166" fontId="21" fillId="4" borderId="6" xfId="3" applyNumberFormat="1" applyFont="1" applyFill="1" applyBorder="1" applyAlignment="1">
      <alignment horizontal="center" vertical="center" wrapText="1"/>
    </xf>
  </cellXfs>
  <cellStyles count="12">
    <cellStyle name="Comma" xfId="6" builtinId="3"/>
    <cellStyle name="Comma [0]" xfId="4" builtinId="6"/>
    <cellStyle name="Comma [0] 2" xfId="5" xr:uid="{00000000-0005-0000-0000-000002000000}"/>
    <cellStyle name="Comma [0] 3" xfId="7" xr:uid="{CAD4BB92-8E2B-40A4-9E52-DA27A80B1414}"/>
    <cellStyle name="Comma [0] 4" xfId="11" xr:uid="{9E50B00E-7CFD-4077-A53C-9EA9FD4E9242}"/>
    <cellStyle name="Comma 2" xfId="8" xr:uid="{A7027A2A-E6D0-4922-9F9D-18295F3CAC54}"/>
    <cellStyle name="Comma 3" xfId="10" xr:uid="{6497FC0E-949F-4155-9F92-819ED82BB11A}"/>
    <cellStyle name="Currency [0] 2" xfId="1" xr:uid="{00000000-0005-0000-0000-000003000000}"/>
    <cellStyle name="Currency [0] 3" xfId="2" xr:uid="{00000000-0005-0000-0000-000004000000}"/>
    <cellStyle name="Normal" xfId="0" builtinId="0"/>
    <cellStyle name="Normal 2" xfId="3" xr:uid="{00000000-0005-0000-0000-000006000000}"/>
    <cellStyle name="Normal 3" xfId="9" xr:uid="{204B642B-AD3B-4680-9E99-4A46467675B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ES302"/>
  <sheetViews>
    <sheetView topLeftCell="A30" zoomScale="124" zoomScaleNormal="124" workbookViewId="0">
      <selection activeCell="D43" sqref="D43"/>
    </sheetView>
  </sheetViews>
  <sheetFormatPr defaultColWidth="14.42578125" defaultRowHeight="15" customHeight="1" x14ac:dyDescent="0.25"/>
  <cols>
    <col min="1" max="1" width="1.7109375" style="1" customWidth="1"/>
    <col min="2" max="2" width="11.42578125" style="2" customWidth="1"/>
    <col min="3" max="3" width="12.5703125" style="51" customWidth="1"/>
    <col min="4" max="4" width="70.42578125" style="2" customWidth="1"/>
    <col min="5" max="5" width="12.5703125" style="14" bestFit="1" customWidth="1"/>
    <col min="6" max="7" width="10.7109375" style="23" customWidth="1"/>
    <col min="8" max="8" width="12.7109375" style="16" customWidth="1"/>
    <col min="9" max="9" width="25.140625" style="2" customWidth="1"/>
    <col min="10" max="10" width="14.42578125" style="23"/>
    <col min="11" max="16373" width="14.42578125" style="2"/>
    <col min="16374" max="16384" width="14.42578125" style="1"/>
  </cols>
  <sheetData>
    <row r="1" spans="2:10" s="2" customFormat="1" ht="15" customHeight="1" x14ac:dyDescent="0.25">
      <c r="B1" s="139" t="s">
        <v>12</v>
      </c>
      <c r="C1" s="139"/>
      <c r="D1" s="139"/>
      <c r="E1" s="139"/>
      <c r="F1" s="139"/>
      <c r="G1" s="139"/>
      <c r="H1" s="139"/>
      <c r="J1" s="23"/>
    </row>
    <row r="2" spans="2:10" s="2" customFormat="1" ht="15" customHeight="1" x14ac:dyDescent="0.25">
      <c r="B2" s="139"/>
      <c r="C2" s="139"/>
      <c r="D2" s="139"/>
      <c r="E2" s="139"/>
      <c r="F2" s="139"/>
      <c r="G2" s="139"/>
      <c r="H2" s="139"/>
      <c r="J2" s="23"/>
    </row>
    <row r="3" spans="2:10" s="2" customFormat="1" ht="15" customHeight="1" x14ac:dyDescent="0.25">
      <c r="B3" s="139" t="s">
        <v>13</v>
      </c>
      <c r="C3" s="139"/>
      <c r="D3" s="139"/>
      <c r="E3" s="139"/>
      <c r="F3" s="139"/>
      <c r="G3" s="139"/>
      <c r="H3" s="139"/>
      <c r="J3" s="23"/>
    </row>
    <row r="4" spans="2:10" s="2" customFormat="1" ht="15" customHeight="1" x14ac:dyDescent="0.25">
      <c r="B4" s="27"/>
      <c r="C4" s="27"/>
      <c r="D4" s="27"/>
      <c r="E4" s="27"/>
      <c r="F4" s="27"/>
      <c r="G4" s="28"/>
      <c r="H4" s="33"/>
      <c r="J4" s="23"/>
    </row>
    <row r="5" spans="2:10" s="2" customFormat="1" ht="15" customHeight="1" x14ac:dyDescent="0.25">
      <c r="B5" s="27"/>
      <c r="C5" s="27"/>
      <c r="D5" s="27"/>
      <c r="E5" s="27"/>
      <c r="F5" s="27"/>
      <c r="G5" s="28"/>
      <c r="H5" s="33"/>
      <c r="J5" s="23"/>
    </row>
    <row r="6" spans="2:10" s="2" customFormat="1" ht="15" customHeight="1" x14ac:dyDescent="0.25">
      <c r="B6" s="27"/>
      <c r="C6" s="27"/>
      <c r="D6" s="27"/>
      <c r="E6" s="27"/>
      <c r="F6" s="27"/>
      <c r="G6" s="28"/>
      <c r="H6" s="33"/>
      <c r="J6" s="23"/>
    </row>
    <row r="7" spans="2:10" s="2" customFormat="1" ht="18.75" x14ac:dyDescent="0.25">
      <c r="B7" s="57" t="s">
        <v>31</v>
      </c>
      <c r="C7" s="58"/>
      <c r="D7" s="27"/>
      <c r="E7" s="27"/>
      <c r="F7" s="18"/>
      <c r="G7" s="18"/>
      <c r="H7" s="34" t="s">
        <v>1</v>
      </c>
      <c r="J7" s="23"/>
    </row>
    <row r="8" spans="2:10" s="2" customFormat="1" x14ac:dyDescent="0.25">
      <c r="B8" s="3"/>
      <c r="C8" s="52"/>
      <c r="D8" s="4"/>
      <c r="E8" s="5"/>
      <c r="F8" s="19"/>
      <c r="G8" s="19"/>
      <c r="H8" s="4"/>
      <c r="J8" s="23"/>
    </row>
    <row r="9" spans="2:10" s="2" customFormat="1" ht="50.1" customHeight="1" x14ac:dyDescent="0.25">
      <c r="B9" s="48" t="s">
        <v>2</v>
      </c>
      <c r="C9" s="6" t="s">
        <v>19</v>
      </c>
      <c r="D9" s="6" t="s">
        <v>3</v>
      </c>
      <c r="E9" s="6" t="s">
        <v>14</v>
      </c>
      <c r="F9" s="20" t="s">
        <v>4</v>
      </c>
      <c r="G9" s="20" t="s">
        <v>5</v>
      </c>
      <c r="H9" s="35" t="s">
        <v>6</v>
      </c>
      <c r="J9" s="23"/>
    </row>
    <row r="10" spans="2:10" s="2" customFormat="1" ht="17.100000000000001" customHeight="1" x14ac:dyDescent="0.25">
      <c r="B10" s="47">
        <v>46204</v>
      </c>
      <c r="C10" s="59"/>
      <c r="D10" s="55" t="s">
        <v>11</v>
      </c>
      <c r="E10" s="17"/>
      <c r="F10" s="21"/>
      <c r="G10" s="21"/>
      <c r="H10" s="36">
        <v>-140800</v>
      </c>
      <c r="J10" s="23"/>
    </row>
    <row r="11" spans="2:10" s="2" customFormat="1" ht="15.75" customHeight="1" x14ac:dyDescent="0.25">
      <c r="B11" s="46">
        <v>46204</v>
      </c>
      <c r="C11" s="45" t="s">
        <v>152</v>
      </c>
      <c r="D11" s="56" t="s">
        <v>20</v>
      </c>
      <c r="E11" s="10" t="s">
        <v>18</v>
      </c>
      <c r="F11" s="22"/>
      <c r="G11" s="22">
        <v>300000</v>
      </c>
      <c r="H11" s="36">
        <f>H10+F11-G11</f>
        <v>-440800</v>
      </c>
      <c r="J11" s="23"/>
    </row>
    <row r="12" spans="2:10" s="2" customFormat="1" ht="15.75" customHeight="1" x14ac:dyDescent="0.25">
      <c r="B12" s="47">
        <v>46205</v>
      </c>
      <c r="C12" s="49" t="s">
        <v>40</v>
      </c>
      <c r="D12" s="55" t="s">
        <v>32</v>
      </c>
      <c r="E12" s="102" t="s">
        <v>18</v>
      </c>
      <c r="F12" s="43">
        <v>6000000</v>
      </c>
      <c r="G12" s="43"/>
      <c r="H12" s="36">
        <f>H11+F12-G12</f>
        <v>5559200</v>
      </c>
      <c r="J12" s="23"/>
    </row>
    <row r="13" spans="2:10" s="2" customFormat="1" ht="15.75" customHeight="1" x14ac:dyDescent="0.25">
      <c r="B13" s="46">
        <v>46205</v>
      </c>
      <c r="C13" s="45" t="s">
        <v>152</v>
      </c>
      <c r="D13" s="8" t="s">
        <v>42</v>
      </c>
      <c r="E13" s="7" t="s">
        <v>46</v>
      </c>
      <c r="F13" s="44"/>
      <c r="G13" s="22">
        <v>1856000</v>
      </c>
      <c r="H13" s="37">
        <f>H12+F13-G13</f>
        <v>3703200</v>
      </c>
      <c r="J13" s="23"/>
    </row>
    <row r="14" spans="2:10" s="2" customFormat="1" ht="15.75" customHeight="1" x14ac:dyDescent="0.25">
      <c r="B14" s="46">
        <v>46205</v>
      </c>
      <c r="C14" s="45" t="s">
        <v>152</v>
      </c>
      <c r="D14" s="8" t="s">
        <v>43</v>
      </c>
      <c r="E14" s="7" t="s">
        <v>46</v>
      </c>
      <c r="F14" s="9"/>
      <c r="G14" s="22">
        <v>1368000</v>
      </c>
      <c r="H14" s="37">
        <f t="shared" ref="H14:H41" si="0">H13+F14-G14</f>
        <v>2335200</v>
      </c>
      <c r="J14" s="23"/>
    </row>
    <row r="15" spans="2:10" s="2" customFormat="1" ht="15.75" customHeight="1" x14ac:dyDescent="0.25">
      <c r="B15" s="46">
        <v>46205</v>
      </c>
      <c r="C15" s="45" t="s">
        <v>152</v>
      </c>
      <c r="D15" s="8" t="s">
        <v>44</v>
      </c>
      <c r="E15" s="7" t="s">
        <v>46</v>
      </c>
      <c r="F15" s="50"/>
      <c r="G15" s="22">
        <v>898000</v>
      </c>
      <c r="H15" s="37">
        <f t="shared" si="0"/>
        <v>1437200</v>
      </c>
      <c r="J15" s="23"/>
    </row>
    <row r="16" spans="2:10" s="2" customFormat="1" ht="15.75" customHeight="1" x14ac:dyDescent="0.25">
      <c r="B16" s="46">
        <v>46205</v>
      </c>
      <c r="C16" s="45" t="s">
        <v>152</v>
      </c>
      <c r="D16" s="8" t="s">
        <v>41</v>
      </c>
      <c r="E16" s="7" t="s">
        <v>46</v>
      </c>
      <c r="F16" s="32"/>
      <c r="G16" s="30">
        <v>883000</v>
      </c>
      <c r="H16" s="37">
        <f t="shared" si="0"/>
        <v>554200</v>
      </c>
      <c r="I16" s="16"/>
      <c r="J16" s="23"/>
    </row>
    <row r="17" spans="2:10" s="2" customFormat="1" ht="15.75" customHeight="1" x14ac:dyDescent="0.25">
      <c r="B17" s="46">
        <v>46205</v>
      </c>
      <c r="C17" s="45" t="s">
        <v>152</v>
      </c>
      <c r="D17" s="8" t="s">
        <v>47</v>
      </c>
      <c r="E17" s="7" t="s">
        <v>48</v>
      </c>
      <c r="F17" s="22"/>
      <c r="G17" s="22">
        <v>70000</v>
      </c>
      <c r="H17" s="37">
        <f t="shared" si="0"/>
        <v>484200</v>
      </c>
      <c r="J17" s="23"/>
    </row>
    <row r="18" spans="2:10" s="2" customFormat="1" ht="15.75" customHeight="1" x14ac:dyDescent="0.25">
      <c r="B18" s="46">
        <v>46205</v>
      </c>
      <c r="C18" s="45" t="s">
        <v>152</v>
      </c>
      <c r="D18" s="8" t="s">
        <v>45</v>
      </c>
      <c r="E18" s="7" t="s">
        <v>49</v>
      </c>
      <c r="F18" s="22"/>
      <c r="G18" s="22">
        <v>30000</v>
      </c>
      <c r="H18" s="37">
        <f t="shared" si="0"/>
        <v>454200</v>
      </c>
      <c r="J18" s="23"/>
    </row>
    <row r="19" spans="2:10" s="2" customFormat="1" ht="15.75" customHeight="1" x14ac:dyDescent="0.25">
      <c r="B19" s="46">
        <v>46205</v>
      </c>
      <c r="C19" s="45" t="s">
        <v>152</v>
      </c>
      <c r="D19" s="8" t="s">
        <v>110</v>
      </c>
      <c r="E19" s="7" t="s">
        <v>18</v>
      </c>
      <c r="F19" s="22"/>
      <c r="G19" s="100">
        <v>120000</v>
      </c>
      <c r="H19" s="37">
        <f t="shared" si="0"/>
        <v>334200</v>
      </c>
      <c r="J19" s="23"/>
    </row>
    <row r="20" spans="2:10" s="15" customFormat="1" ht="15" customHeight="1" x14ac:dyDescent="0.25">
      <c r="B20" s="47">
        <v>46212</v>
      </c>
      <c r="C20" s="49" t="s">
        <v>40</v>
      </c>
      <c r="D20" s="42" t="s">
        <v>32</v>
      </c>
      <c r="E20" s="102" t="s">
        <v>18</v>
      </c>
      <c r="F20" s="43">
        <v>6000000</v>
      </c>
      <c r="G20" s="113"/>
      <c r="H20" s="36">
        <f t="shared" si="0"/>
        <v>6334200</v>
      </c>
      <c r="J20" s="31"/>
    </row>
    <row r="21" spans="2:10" s="2" customFormat="1" ht="15.75" customHeight="1" x14ac:dyDescent="0.25">
      <c r="B21" s="46">
        <v>46212</v>
      </c>
      <c r="C21" s="115" t="s">
        <v>153</v>
      </c>
      <c r="D21" s="8" t="s">
        <v>138</v>
      </c>
      <c r="E21" s="10" t="s">
        <v>51</v>
      </c>
      <c r="F21" s="43"/>
      <c r="G21" s="112">
        <v>20900</v>
      </c>
      <c r="H21" s="37">
        <f t="shared" si="0"/>
        <v>6313300</v>
      </c>
      <c r="J21" s="23"/>
    </row>
    <row r="22" spans="2:10" s="2" customFormat="1" ht="15.75" customHeight="1" x14ac:dyDescent="0.25">
      <c r="B22" s="46">
        <v>46212</v>
      </c>
      <c r="C22" s="115" t="s">
        <v>153</v>
      </c>
      <c r="D22" s="8" t="s">
        <v>139</v>
      </c>
      <c r="E22" s="7" t="s">
        <v>51</v>
      </c>
      <c r="F22" s="22"/>
      <c r="G22" s="22">
        <v>20900</v>
      </c>
      <c r="H22" s="37">
        <f t="shared" si="0"/>
        <v>6292400</v>
      </c>
      <c r="J22" s="23"/>
    </row>
    <row r="23" spans="2:10" s="2" customFormat="1" ht="15.75" customHeight="1" x14ac:dyDescent="0.25">
      <c r="B23" s="46">
        <v>46212</v>
      </c>
      <c r="C23" s="45" t="s">
        <v>152</v>
      </c>
      <c r="D23" s="8" t="s">
        <v>151</v>
      </c>
      <c r="E23" s="7" t="s">
        <v>49</v>
      </c>
      <c r="F23" s="43"/>
      <c r="G23" s="22">
        <v>110000</v>
      </c>
      <c r="H23" s="37">
        <f t="shared" si="0"/>
        <v>6182400</v>
      </c>
      <c r="J23" s="23"/>
    </row>
    <row r="24" spans="2:10" s="2" customFormat="1" ht="15.75" customHeight="1" x14ac:dyDescent="0.25">
      <c r="B24" s="46">
        <v>46212</v>
      </c>
      <c r="C24" s="45" t="s">
        <v>152</v>
      </c>
      <c r="D24" s="8" t="s">
        <v>140</v>
      </c>
      <c r="E24" s="7" t="s">
        <v>46</v>
      </c>
      <c r="F24" s="43"/>
      <c r="G24" s="22">
        <v>1594000</v>
      </c>
      <c r="H24" s="37">
        <f t="shared" si="0"/>
        <v>4588400</v>
      </c>
      <c r="J24" s="23"/>
    </row>
    <row r="25" spans="2:10" s="2" customFormat="1" ht="15.75" customHeight="1" x14ac:dyDescent="0.25">
      <c r="B25" s="46">
        <v>46212</v>
      </c>
      <c r="C25" s="45" t="s">
        <v>152</v>
      </c>
      <c r="D25" s="8" t="s">
        <v>141</v>
      </c>
      <c r="E25" s="7" t="s">
        <v>46</v>
      </c>
      <c r="F25" s="43"/>
      <c r="G25" s="22">
        <v>1678000</v>
      </c>
      <c r="H25" s="37">
        <f t="shared" si="0"/>
        <v>2910400</v>
      </c>
      <c r="I25" s="16"/>
      <c r="J25" s="23"/>
    </row>
    <row r="26" spans="2:10" s="2" customFormat="1" ht="15.75" customHeight="1" x14ac:dyDescent="0.25">
      <c r="B26" s="46">
        <v>46212</v>
      </c>
      <c r="C26" s="45" t="s">
        <v>152</v>
      </c>
      <c r="D26" s="8" t="s">
        <v>142</v>
      </c>
      <c r="E26" s="94" t="s">
        <v>46</v>
      </c>
      <c r="F26" s="43"/>
      <c r="G26" s="22">
        <v>1198000</v>
      </c>
      <c r="H26" s="37">
        <f t="shared" si="0"/>
        <v>1712400</v>
      </c>
      <c r="I26" s="16">
        <f>H24+'KAS KEBUN JULI 26'!H103</f>
        <v>10322197</v>
      </c>
      <c r="J26" s="23"/>
    </row>
    <row r="27" spans="2:10" s="2" customFormat="1" ht="15.75" customHeight="1" x14ac:dyDescent="0.25">
      <c r="B27" s="46">
        <v>46212</v>
      </c>
      <c r="C27" s="45" t="s">
        <v>152</v>
      </c>
      <c r="D27" s="8" t="s">
        <v>143</v>
      </c>
      <c r="E27" s="94" t="s">
        <v>38</v>
      </c>
      <c r="F27" s="22"/>
      <c r="G27" s="22">
        <v>1051000</v>
      </c>
      <c r="H27" s="37">
        <f t="shared" si="0"/>
        <v>661400</v>
      </c>
      <c r="I27" s="16"/>
      <c r="J27" s="23"/>
    </row>
    <row r="28" spans="2:10" s="2" customFormat="1" ht="15.75" customHeight="1" x14ac:dyDescent="0.25">
      <c r="B28" s="46">
        <v>46212</v>
      </c>
      <c r="C28" s="45" t="s">
        <v>152</v>
      </c>
      <c r="D28" s="8" t="s">
        <v>144</v>
      </c>
      <c r="E28" s="94" t="s">
        <v>38</v>
      </c>
      <c r="F28" s="22"/>
      <c r="G28" s="22">
        <v>622000</v>
      </c>
      <c r="H28" s="37">
        <f t="shared" si="0"/>
        <v>39400</v>
      </c>
      <c r="I28" s="16"/>
      <c r="J28" s="23"/>
    </row>
    <row r="29" spans="2:10" s="2" customFormat="1" ht="15.75" customHeight="1" x14ac:dyDescent="0.25">
      <c r="B29" s="46">
        <v>46214</v>
      </c>
      <c r="C29" s="45" t="s">
        <v>152</v>
      </c>
      <c r="D29" s="8" t="s">
        <v>145</v>
      </c>
      <c r="E29" s="94" t="s">
        <v>49</v>
      </c>
      <c r="F29" s="22"/>
      <c r="G29" s="22">
        <v>73000</v>
      </c>
      <c r="H29" s="37">
        <f t="shared" si="0"/>
        <v>-33600</v>
      </c>
      <c r="I29" s="16"/>
      <c r="J29" s="23"/>
    </row>
    <row r="30" spans="2:10" s="2" customFormat="1" ht="15.75" customHeight="1" x14ac:dyDescent="0.25">
      <c r="B30" s="46">
        <v>46216</v>
      </c>
      <c r="C30" s="45" t="s">
        <v>152</v>
      </c>
      <c r="D30" s="8" t="s">
        <v>146</v>
      </c>
      <c r="E30" s="94" t="s">
        <v>49</v>
      </c>
      <c r="F30" s="22"/>
      <c r="G30" s="22">
        <v>324000</v>
      </c>
      <c r="H30" s="37">
        <f t="shared" si="0"/>
        <v>-357600</v>
      </c>
      <c r="I30" s="16"/>
      <c r="J30" s="23"/>
    </row>
    <row r="31" spans="2:10" s="2" customFormat="1" ht="15.75" customHeight="1" x14ac:dyDescent="0.25">
      <c r="B31" s="46">
        <v>46217</v>
      </c>
      <c r="C31" s="45" t="s">
        <v>152</v>
      </c>
      <c r="D31" s="8" t="s">
        <v>150</v>
      </c>
      <c r="E31" s="94" t="s">
        <v>149</v>
      </c>
      <c r="F31" s="22"/>
      <c r="G31" s="22">
        <v>55000</v>
      </c>
      <c r="H31" s="37">
        <f t="shared" si="0"/>
        <v>-412600</v>
      </c>
      <c r="I31" s="16"/>
      <c r="J31" s="23"/>
    </row>
    <row r="32" spans="2:10" s="2" customFormat="1" ht="15.75" customHeight="1" x14ac:dyDescent="0.25">
      <c r="B32" s="46">
        <v>46217</v>
      </c>
      <c r="C32" s="45" t="s">
        <v>152</v>
      </c>
      <c r="D32" s="8" t="s">
        <v>179</v>
      </c>
      <c r="E32" s="94" t="s">
        <v>49</v>
      </c>
      <c r="F32" s="22"/>
      <c r="G32" s="22">
        <v>61000</v>
      </c>
      <c r="H32" s="37">
        <f t="shared" si="0"/>
        <v>-473600</v>
      </c>
      <c r="I32" s="16"/>
      <c r="J32" s="23"/>
    </row>
    <row r="33" spans="2:10" s="2" customFormat="1" ht="15.75" customHeight="1" x14ac:dyDescent="0.25">
      <c r="B33" s="47">
        <v>46220</v>
      </c>
      <c r="C33" s="49" t="s">
        <v>40</v>
      </c>
      <c r="D33" s="42" t="s">
        <v>32</v>
      </c>
      <c r="E33" s="132" t="s">
        <v>18</v>
      </c>
      <c r="F33" s="43">
        <v>6000000</v>
      </c>
      <c r="G33" s="43"/>
      <c r="H33" s="36">
        <f t="shared" si="0"/>
        <v>5526400</v>
      </c>
      <c r="I33" s="16"/>
      <c r="J33" s="23"/>
    </row>
    <row r="34" spans="2:10" s="2" customFormat="1" ht="15.75" customHeight="1" x14ac:dyDescent="0.25">
      <c r="B34" s="46">
        <v>46220</v>
      </c>
      <c r="C34" s="45" t="s">
        <v>152</v>
      </c>
      <c r="D34" s="8" t="s">
        <v>197</v>
      </c>
      <c r="E34" s="94" t="s">
        <v>46</v>
      </c>
      <c r="F34" s="22"/>
      <c r="G34" s="22">
        <v>1471000</v>
      </c>
      <c r="H34" s="37">
        <f t="shared" si="0"/>
        <v>4055400</v>
      </c>
      <c r="I34" s="16"/>
      <c r="J34" s="23"/>
    </row>
    <row r="35" spans="2:10" s="2" customFormat="1" ht="15.75" customHeight="1" x14ac:dyDescent="0.25">
      <c r="B35" s="46">
        <v>46220</v>
      </c>
      <c r="C35" s="45" t="s">
        <v>152</v>
      </c>
      <c r="D35" s="8" t="s">
        <v>198</v>
      </c>
      <c r="E35" s="7" t="s">
        <v>46</v>
      </c>
      <c r="F35" s="22"/>
      <c r="G35" s="22">
        <v>1639000</v>
      </c>
      <c r="H35" s="37">
        <f t="shared" si="0"/>
        <v>2416400</v>
      </c>
      <c r="I35" s="16"/>
      <c r="J35" s="23"/>
    </row>
    <row r="36" spans="2:10" s="2" customFormat="1" ht="15.75" customHeight="1" x14ac:dyDescent="0.25">
      <c r="B36" s="46">
        <v>46220</v>
      </c>
      <c r="C36" s="45" t="s">
        <v>152</v>
      </c>
      <c r="D36" s="8" t="s">
        <v>199</v>
      </c>
      <c r="E36" s="7" t="s">
        <v>38</v>
      </c>
      <c r="F36" s="22"/>
      <c r="G36" s="22">
        <v>1205000</v>
      </c>
      <c r="H36" s="37">
        <f t="shared" si="0"/>
        <v>1211400</v>
      </c>
      <c r="I36" s="16"/>
      <c r="J36" s="23"/>
    </row>
    <row r="37" spans="2:10" s="2" customFormat="1" ht="15.75" customHeight="1" x14ac:dyDescent="0.25">
      <c r="B37" s="46">
        <v>46220</v>
      </c>
      <c r="C37" s="115" t="s">
        <v>153</v>
      </c>
      <c r="D37" s="8" t="s">
        <v>213</v>
      </c>
      <c r="E37" s="7" t="s">
        <v>51</v>
      </c>
      <c r="F37" s="22"/>
      <c r="G37" s="22">
        <v>41800</v>
      </c>
      <c r="H37" s="37">
        <f t="shared" si="0"/>
        <v>1169600</v>
      </c>
      <c r="I37" s="16"/>
      <c r="J37" s="23"/>
    </row>
    <row r="38" spans="2:10" s="2" customFormat="1" ht="15.75" customHeight="1" x14ac:dyDescent="0.25">
      <c r="B38" s="46">
        <v>46220</v>
      </c>
      <c r="C38" s="45" t="s">
        <v>152</v>
      </c>
      <c r="D38" s="8" t="s">
        <v>200</v>
      </c>
      <c r="E38" s="7" t="s">
        <v>49</v>
      </c>
      <c r="F38" s="22"/>
      <c r="G38" s="22">
        <v>55000</v>
      </c>
      <c r="H38" s="37">
        <f t="shared" si="0"/>
        <v>1114600</v>
      </c>
      <c r="I38" s="16"/>
      <c r="J38" s="23"/>
    </row>
    <row r="39" spans="2:10" s="2" customFormat="1" ht="15.75" customHeight="1" x14ac:dyDescent="0.25">
      <c r="B39" s="46">
        <v>46221</v>
      </c>
      <c r="C39" s="133" t="s">
        <v>152</v>
      </c>
      <c r="D39" s="8" t="s">
        <v>201</v>
      </c>
      <c r="E39" s="7" t="s">
        <v>49</v>
      </c>
      <c r="F39" s="43"/>
      <c r="G39" s="22">
        <v>73000</v>
      </c>
      <c r="H39" s="37">
        <f t="shared" si="0"/>
        <v>1041600</v>
      </c>
      <c r="I39" s="16"/>
      <c r="J39" s="23"/>
    </row>
    <row r="40" spans="2:10" s="2" customFormat="1" ht="15.75" customHeight="1" x14ac:dyDescent="0.25">
      <c r="B40" s="46">
        <v>46221</v>
      </c>
      <c r="C40" s="133" t="s">
        <v>152</v>
      </c>
      <c r="D40" s="8" t="s">
        <v>214</v>
      </c>
      <c r="E40" s="7" t="s">
        <v>49</v>
      </c>
      <c r="F40" s="43"/>
      <c r="G40" s="22">
        <v>250000</v>
      </c>
      <c r="H40" s="37">
        <f t="shared" si="0"/>
        <v>791600</v>
      </c>
      <c r="I40" s="16"/>
      <c r="J40" s="23"/>
    </row>
    <row r="41" spans="2:10" s="2" customFormat="1" ht="15.75" customHeight="1" x14ac:dyDescent="0.25">
      <c r="B41" s="46"/>
      <c r="C41" s="45"/>
      <c r="D41" s="8"/>
      <c r="E41" s="7"/>
      <c r="F41" s="22"/>
      <c r="G41" s="22"/>
      <c r="H41" s="37">
        <f t="shared" si="0"/>
        <v>791600</v>
      </c>
      <c r="I41" s="16"/>
      <c r="J41" s="23"/>
    </row>
    <row r="42" spans="2:10" s="2" customFormat="1" ht="15.75" customHeight="1" x14ac:dyDescent="0.25">
      <c r="B42" s="46"/>
      <c r="C42" s="45"/>
      <c r="D42" s="8"/>
      <c r="E42" s="7"/>
      <c r="F42" s="22"/>
      <c r="G42" s="22"/>
      <c r="H42" s="37"/>
      <c r="I42" s="16"/>
      <c r="J42" s="23"/>
    </row>
    <row r="43" spans="2:10" s="2" customFormat="1" ht="15.75" customHeight="1" x14ac:dyDescent="0.25">
      <c r="B43" s="46"/>
      <c r="C43" s="45"/>
      <c r="D43" s="8"/>
      <c r="E43" s="7"/>
      <c r="F43" s="22"/>
      <c r="G43" s="22"/>
      <c r="H43" s="37"/>
      <c r="I43" s="16"/>
      <c r="J43" s="23"/>
    </row>
    <row r="44" spans="2:10" s="2" customFormat="1" ht="15.75" customHeight="1" x14ac:dyDescent="0.25">
      <c r="B44" s="46"/>
      <c r="C44" s="45"/>
      <c r="D44" s="8"/>
      <c r="E44" s="7"/>
      <c r="F44" s="43"/>
      <c r="G44" s="22"/>
      <c r="H44" s="37"/>
      <c r="I44" s="16"/>
      <c r="J44" s="23"/>
    </row>
    <row r="45" spans="2:10" s="2" customFormat="1" ht="15.75" customHeight="1" x14ac:dyDescent="0.25">
      <c r="B45" s="47"/>
      <c r="C45" s="49"/>
      <c r="D45" s="42"/>
      <c r="E45" s="102"/>
      <c r="F45" s="43"/>
      <c r="G45" s="43"/>
      <c r="H45" s="36"/>
      <c r="I45" s="16"/>
      <c r="J45" s="23"/>
    </row>
    <row r="46" spans="2:10" s="2" customFormat="1" ht="15.75" customHeight="1" x14ac:dyDescent="0.25">
      <c r="B46" s="46"/>
      <c r="C46" s="45"/>
      <c r="D46" s="8"/>
      <c r="E46" s="7"/>
      <c r="F46" s="22"/>
      <c r="G46" s="22"/>
      <c r="H46" s="37"/>
      <c r="I46" s="16"/>
      <c r="J46" s="23"/>
    </row>
    <row r="47" spans="2:10" s="2" customFormat="1" ht="15.75" customHeight="1" x14ac:dyDescent="0.25">
      <c r="B47" s="46"/>
      <c r="C47" s="45"/>
      <c r="D47" s="8"/>
      <c r="E47" s="7"/>
      <c r="F47" s="22"/>
      <c r="G47" s="22"/>
      <c r="H47" s="37"/>
      <c r="I47" s="16"/>
      <c r="J47" s="23"/>
    </row>
    <row r="48" spans="2:10" s="2" customFormat="1" ht="15.75" customHeight="1" x14ac:dyDescent="0.25">
      <c r="B48" s="46"/>
      <c r="C48" s="45"/>
      <c r="D48" s="8"/>
      <c r="E48" s="7"/>
      <c r="F48" s="22"/>
      <c r="G48" s="22"/>
      <c r="H48" s="37"/>
      <c r="I48" s="16"/>
      <c r="J48" s="23"/>
    </row>
    <row r="49" spans="2:10" s="2" customFormat="1" ht="15.75" customHeight="1" x14ac:dyDescent="0.25">
      <c r="B49" s="46"/>
      <c r="C49" s="45"/>
      <c r="D49" s="8"/>
      <c r="E49" s="7"/>
      <c r="F49" s="22"/>
      <c r="G49" s="22"/>
      <c r="H49" s="37"/>
      <c r="I49" s="16"/>
      <c r="J49" s="23"/>
    </row>
    <row r="50" spans="2:10" s="2" customFormat="1" ht="15.75" customHeight="1" x14ac:dyDescent="0.25">
      <c r="B50" s="46"/>
      <c r="C50" s="45"/>
      <c r="D50" s="8"/>
      <c r="E50" s="7"/>
      <c r="F50" s="22"/>
      <c r="G50" s="22"/>
      <c r="H50" s="37"/>
      <c r="I50" s="16"/>
      <c r="J50" s="23"/>
    </row>
    <row r="51" spans="2:10" s="2" customFormat="1" ht="15.75" customHeight="1" x14ac:dyDescent="0.25">
      <c r="B51" s="46"/>
      <c r="C51" s="99"/>
      <c r="D51" s="8"/>
      <c r="E51" s="7"/>
      <c r="F51" s="22"/>
      <c r="G51" s="22"/>
      <c r="H51" s="37"/>
      <c r="I51" s="16"/>
      <c r="J51" s="23"/>
    </row>
    <row r="52" spans="2:10" s="2" customFormat="1" ht="15.75" customHeight="1" x14ac:dyDescent="0.25">
      <c r="B52" s="46"/>
      <c r="C52" s="45"/>
      <c r="D52" s="8"/>
      <c r="E52" s="7"/>
      <c r="F52" s="22"/>
      <c r="G52" s="22"/>
      <c r="H52" s="37"/>
      <c r="I52" s="16"/>
      <c r="J52" s="23"/>
    </row>
    <row r="53" spans="2:10" s="2" customFormat="1" ht="15.75" customHeight="1" x14ac:dyDescent="0.25">
      <c r="B53" s="46"/>
      <c r="C53" s="45"/>
      <c r="D53" s="8"/>
      <c r="E53" s="7"/>
      <c r="F53" s="22"/>
      <c r="G53" s="22"/>
      <c r="H53" s="37"/>
      <c r="I53" s="16"/>
      <c r="J53" s="23"/>
    </row>
    <row r="54" spans="2:10" s="2" customFormat="1" ht="15.75" customHeight="1" x14ac:dyDescent="0.25">
      <c r="B54" s="46"/>
      <c r="C54" s="45"/>
      <c r="D54" s="8"/>
      <c r="E54" s="7"/>
      <c r="F54" s="22"/>
      <c r="G54" s="22"/>
      <c r="H54" s="37"/>
      <c r="I54" s="16"/>
      <c r="J54" s="23"/>
    </row>
    <row r="55" spans="2:10" s="2" customFormat="1" ht="15.75" customHeight="1" x14ac:dyDescent="0.25">
      <c r="B55" s="46"/>
      <c r="C55" s="45"/>
      <c r="D55" s="8"/>
      <c r="E55" s="7"/>
      <c r="F55" s="22"/>
      <c r="G55" s="22"/>
      <c r="H55" s="37"/>
      <c r="I55" s="16"/>
      <c r="J55" s="23"/>
    </row>
    <row r="56" spans="2:10" s="2" customFormat="1" ht="15.75" customHeight="1" x14ac:dyDescent="0.25">
      <c r="B56" s="46"/>
      <c r="C56" s="45"/>
      <c r="D56" s="8"/>
      <c r="E56" s="7"/>
      <c r="F56" s="22"/>
      <c r="G56" s="22"/>
      <c r="H56" s="37"/>
      <c r="I56" s="16"/>
      <c r="J56" s="23"/>
    </row>
    <row r="57" spans="2:10" s="2" customFormat="1" ht="15.75" customHeight="1" x14ac:dyDescent="0.25">
      <c r="B57" s="3"/>
      <c r="C57" s="53"/>
      <c r="D57" s="3"/>
      <c r="E57" s="26"/>
      <c r="F57" s="19"/>
      <c r="G57" s="19"/>
      <c r="H57" s="4"/>
      <c r="J57" s="23"/>
    </row>
    <row r="58" spans="2:10" s="2" customFormat="1" ht="15.75" customHeight="1" x14ac:dyDescent="0.25">
      <c r="B58" s="3"/>
      <c r="C58" s="52"/>
      <c r="D58" s="4"/>
      <c r="E58" s="5"/>
      <c r="F58" s="19"/>
      <c r="G58" s="19"/>
      <c r="H58" s="4"/>
      <c r="I58" s="29"/>
      <c r="J58" s="23"/>
    </row>
    <row r="59" spans="2:10" s="2" customFormat="1" ht="15.75" customHeight="1" x14ac:dyDescent="0.25">
      <c r="B59" s="3" t="s">
        <v>7</v>
      </c>
      <c r="C59" s="53"/>
      <c r="D59" s="2" t="s">
        <v>8</v>
      </c>
      <c r="E59" s="25"/>
      <c r="F59" s="24"/>
      <c r="G59" s="23"/>
      <c r="H59" s="4"/>
      <c r="I59" s="16"/>
      <c r="J59" s="23"/>
    </row>
    <row r="60" spans="2:10" s="2" customFormat="1" ht="15.75" customHeight="1" x14ac:dyDescent="0.25">
      <c r="B60" s="4"/>
      <c r="C60" s="52"/>
      <c r="E60" s="5"/>
      <c r="F60" s="25"/>
      <c r="G60" s="23"/>
      <c r="H60" s="4"/>
      <c r="I60" s="60"/>
      <c r="J60" s="23"/>
    </row>
    <row r="61" spans="2:10" s="2" customFormat="1" ht="15.75" customHeight="1" x14ac:dyDescent="0.25">
      <c r="B61" s="3"/>
      <c r="C61" s="52"/>
      <c r="E61" s="5"/>
      <c r="F61" s="25"/>
      <c r="G61" s="23"/>
      <c r="H61" s="4"/>
      <c r="I61" s="60"/>
      <c r="J61" s="23"/>
    </row>
    <row r="62" spans="2:10" s="2" customFormat="1" ht="15.75" customHeight="1" x14ac:dyDescent="0.25">
      <c r="B62" s="4"/>
      <c r="C62" s="52"/>
      <c r="E62" s="5"/>
      <c r="F62" s="25"/>
      <c r="G62" s="23"/>
      <c r="H62" s="4"/>
      <c r="J62" s="23"/>
    </row>
    <row r="63" spans="2:10" s="2" customFormat="1" ht="15.75" customHeight="1" x14ac:dyDescent="0.25">
      <c r="B63" s="4"/>
      <c r="C63" s="52"/>
      <c r="E63" s="5"/>
      <c r="F63" s="25"/>
      <c r="G63" s="23"/>
      <c r="H63" s="4"/>
      <c r="J63" s="23"/>
    </row>
    <row r="64" spans="2:10" s="2" customFormat="1" ht="15.75" customHeight="1" x14ac:dyDescent="0.25">
      <c r="B64" s="11" t="s">
        <v>9</v>
      </c>
      <c r="C64" s="52"/>
      <c r="D64" s="12" t="s">
        <v>10</v>
      </c>
      <c r="E64" s="5"/>
      <c r="F64" s="23"/>
      <c r="G64" s="23"/>
      <c r="H64" s="4"/>
      <c r="J64" s="23"/>
    </row>
    <row r="65" spans="2:10" s="2" customFormat="1" ht="15.75" customHeight="1" x14ac:dyDescent="0.25">
      <c r="B65" s="4"/>
      <c r="C65" s="52"/>
      <c r="D65" s="13"/>
      <c r="E65" s="5"/>
      <c r="F65" s="19"/>
      <c r="G65" s="23"/>
      <c r="H65" s="4"/>
      <c r="J65" s="23"/>
    </row>
    <row r="66" spans="2:10" s="2" customFormat="1" ht="15.75" customHeight="1" x14ac:dyDescent="0.25">
      <c r="B66" s="3"/>
      <c r="C66" s="52"/>
      <c r="D66" s="4"/>
      <c r="E66" s="5"/>
      <c r="F66" s="19"/>
      <c r="G66" s="19"/>
      <c r="H66" s="4"/>
      <c r="J66" s="23"/>
    </row>
    <row r="67" spans="2:10" s="2" customFormat="1" ht="15.75" customHeight="1" x14ac:dyDescent="0.25">
      <c r="C67" s="51"/>
      <c r="E67" s="14"/>
      <c r="F67" s="23"/>
      <c r="G67" s="23"/>
      <c r="H67" s="16"/>
      <c r="J67" s="23"/>
    </row>
    <row r="68" spans="2:10" s="2" customFormat="1" ht="15.75" customHeight="1" x14ac:dyDescent="0.25">
      <c r="C68" s="51"/>
      <c r="E68" s="14"/>
      <c r="F68" s="23"/>
      <c r="G68" s="23"/>
      <c r="H68" s="16"/>
      <c r="J68" s="23"/>
    </row>
    <row r="69" spans="2:10" s="2" customFormat="1" ht="15.75" customHeight="1" x14ac:dyDescent="0.25">
      <c r="C69" s="51"/>
      <c r="E69" s="14"/>
      <c r="F69" s="23"/>
      <c r="G69" s="23"/>
      <c r="H69" s="16"/>
      <c r="J69" s="23"/>
    </row>
    <row r="70" spans="2:10" s="2" customFormat="1" ht="15.75" customHeight="1" x14ac:dyDescent="0.25">
      <c r="C70" s="51"/>
      <c r="E70" s="14"/>
      <c r="F70" s="23"/>
      <c r="G70" s="23"/>
      <c r="H70" s="16"/>
      <c r="J70" s="23"/>
    </row>
    <row r="71" spans="2:10" s="2" customFormat="1" ht="15.75" customHeight="1" x14ac:dyDescent="0.25">
      <c r="C71" s="51"/>
      <c r="E71" s="14"/>
      <c r="F71" s="23"/>
      <c r="G71" s="23"/>
      <c r="H71" s="16"/>
      <c r="J71" s="23"/>
    </row>
    <row r="72" spans="2:10" s="2" customFormat="1" ht="15.75" customHeight="1" x14ac:dyDescent="0.25">
      <c r="C72" s="51"/>
      <c r="E72" s="14"/>
      <c r="F72" s="23"/>
      <c r="G72" s="23"/>
      <c r="H72" s="16"/>
      <c r="J72" s="23"/>
    </row>
    <row r="73" spans="2:10" s="2" customFormat="1" ht="15.75" customHeight="1" x14ac:dyDescent="0.25">
      <c r="C73" s="51"/>
      <c r="E73" s="14"/>
      <c r="F73" s="23"/>
      <c r="G73" s="23"/>
      <c r="H73" s="16"/>
      <c r="J73" s="23"/>
    </row>
    <row r="74" spans="2:10" s="2" customFormat="1" ht="15.75" customHeight="1" x14ac:dyDescent="0.25">
      <c r="C74" s="51"/>
      <c r="E74" s="14"/>
      <c r="F74" s="23"/>
      <c r="G74" s="23"/>
      <c r="H74" s="16"/>
      <c r="J74" s="23"/>
    </row>
    <row r="75" spans="2:10" s="2" customFormat="1" ht="15.75" customHeight="1" x14ac:dyDescent="0.25">
      <c r="C75" s="51"/>
      <c r="E75" s="14"/>
      <c r="F75" s="23"/>
      <c r="G75" s="23"/>
      <c r="H75" s="16"/>
      <c r="J75" s="23"/>
    </row>
    <row r="76" spans="2:10" s="38" customFormat="1" ht="15.75" customHeight="1" x14ac:dyDescent="0.25">
      <c r="C76" s="54"/>
      <c r="E76" s="41"/>
      <c r="F76" s="39"/>
      <c r="G76" s="39"/>
      <c r="H76" s="40"/>
      <c r="J76" s="39"/>
    </row>
    <row r="77" spans="2:10" s="38" customFormat="1" ht="15.75" customHeight="1" x14ac:dyDescent="0.25">
      <c r="C77" s="54"/>
      <c r="E77" s="41"/>
      <c r="F77" s="39"/>
      <c r="G77" s="39"/>
      <c r="H77" s="40"/>
      <c r="J77" s="39"/>
    </row>
    <row r="78" spans="2:10" s="2" customFormat="1" ht="15.75" customHeight="1" x14ac:dyDescent="0.25">
      <c r="C78" s="51"/>
      <c r="E78" s="14"/>
      <c r="F78" s="23"/>
      <c r="G78" s="23"/>
      <c r="H78" s="16"/>
      <c r="J78" s="23"/>
    </row>
    <row r="79" spans="2:10" s="2" customFormat="1" ht="15.75" customHeight="1" x14ac:dyDescent="0.25">
      <c r="C79" s="51"/>
      <c r="E79" s="14"/>
      <c r="F79" s="23"/>
      <c r="G79" s="23"/>
      <c r="H79" s="16"/>
      <c r="J79" s="23"/>
    </row>
    <row r="80" spans="2:10" s="2" customFormat="1" ht="15.75" customHeight="1" x14ac:dyDescent="0.25">
      <c r="C80" s="51"/>
      <c r="E80" s="14"/>
      <c r="F80" s="23"/>
      <c r="G80" s="23"/>
      <c r="H80" s="16"/>
      <c r="J80" s="23"/>
    </row>
    <row r="81" spans="3:10" s="2" customFormat="1" ht="15.75" customHeight="1" x14ac:dyDescent="0.25">
      <c r="C81" s="51"/>
      <c r="E81" s="14"/>
      <c r="F81" s="23"/>
      <c r="G81" s="23"/>
      <c r="H81" s="16"/>
      <c r="J81" s="23"/>
    </row>
    <row r="302" spans="4:4" ht="15" customHeight="1" x14ac:dyDescent="0.25">
      <c r="D302" s="2" t="s">
        <v>17</v>
      </c>
    </row>
  </sheetData>
  <mergeCells count="2">
    <mergeCell ref="B3:H3"/>
    <mergeCell ref="B1:H2"/>
  </mergeCells>
  <pageMargins left="0.25" right="0.25" top="0.12" bottom="0.21" header="0.3" footer="0.12"/>
  <pageSetup paperSize="9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L526"/>
  <sheetViews>
    <sheetView tabSelected="1" topLeftCell="E227" zoomScaleNormal="100" workbookViewId="0">
      <selection activeCell="J238" sqref="J238"/>
    </sheetView>
  </sheetViews>
  <sheetFormatPr defaultColWidth="9" defaultRowHeight="17.100000000000001" customHeight="1" x14ac:dyDescent="0.25"/>
  <cols>
    <col min="1" max="1" width="1.7109375" style="75" customWidth="1"/>
    <col min="2" max="2" width="12.85546875" style="91" bestFit="1" customWidth="1"/>
    <col min="3" max="3" width="14.42578125" style="128" customWidth="1"/>
    <col min="4" max="4" width="94.7109375" style="75" bestFit="1" customWidth="1"/>
    <col min="5" max="5" width="12.7109375" style="92" customWidth="1"/>
    <col min="6" max="6" width="12.7109375" style="89" customWidth="1"/>
    <col min="7" max="7" width="12.7109375" style="90" customWidth="1"/>
    <col min="8" max="8" width="12.7109375" style="75" customWidth="1"/>
    <col min="9" max="9" width="9" style="75"/>
    <col min="10" max="10" width="16.5703125" style="75" customWidth="1"/>
    <col min="11" max="11" width="10.85546875" style="75" bestFit="1" customWidth="1"/>
    <col min="12" max="12" width="13.5703125" style="75" bestFit="1" customWidth="1"/>
    <col min="13" max="16384" width="9" style="75"/>
  </cols>
  <sheetData>
    <row r="2" spans="1:10" ht="17.100000000000001" customHeight="1" x14ac:dyDescent="0.25">
      <c r="B2" s="140" t="s">
        <v>0</v>
      </c>
      <c r="C2" s="140"/>
      <c r="D2" s="140"/>
      <c r="E2" s="140"/>
      <c r="F2" s="140"/>
      <c r="G2" s="140"/>
      <c r="H2" s="140"/>
    </row>
    <row r="3" spans="1:10" ht="17.100000000000001" customHeight="1" x14ac:dyDescent="0.25">
      <c r="B3" s="140"/>
      <c r="C3" s="140"/>
      <c r="D3" s="140"/>
      <c r="E3" s="140"/>
      <c r="F3" s="140"/>
      <c r="G3" s="140"/>
      <c r="H3" s="140"/>
    </row>
    <row r="4" spans="1:10" ht="17.100000000000001" customHeight="1" x14ac:dyDescent="0.25">
      <c r="B4" s="140" t="s">
        <v>13</v>
      </c>
      <c r="C4" s="140"/>
      <c r="D4" s="140"/>
      <c r="E4" s="140"/>
      <c r="F4" s="140"/>
      <c r="G4" s="140"/>
      <c r="H4" s="140"/>
    </row>
    <row r="5" spans="1:10" ht="17.100000000000001" customHeight="1" x14ac:dyDescent="0.25">
      <c r="B5" s="95"/>
      <c r="C5" s="122"/>
      <c r="D5" s="97"/>
      <c r="E5" s="96"/>
      <c r="H5" s="98"/>
    </row>
    <row r="6" spans="1:10" s="61" customFormat="1" ht="17.100000000000001" customHeight="1" x14ac:dyDescent="0.25">
      <c r="B6" s="147" t="s">
        <v>2</v>
      </c>
      <c r="C6" s="123" t="s">
        <v>15</v>
      </c>
      <c r="D6" s="117" t="s">
        <v>3</v>
      </c>
      <c r="E6" s="141" t="s">
        <v>14</v>
      </c>
      <c r="F6" s="143" t="s">
        <v>4</v>
      </c>
      <c r="G6" s="145" t="s">
        <v>5</v>
      </c>
      <c r="H6" s="149" t="s">
        <v>6</v>
      </c>
    </row>
    <row r="7" spans="1:10" s="61" customFormat="1" ht="17.100000000000001" customHeight="1" x14ac:dyDescent="0.25">
      <c r="B7" s="148"/>
      <c r="C7" s="124" t="s">
        <v>16</v>
      </c>
      <c r="D7" s="118"/>
      <c r="E7" s="142"/>
      <c r="F7" s="144"/>
      <c r="G7" s="146"/>
      <c r="H7" s="150"/>
      <c r="J7" s="62"/>
    </row>
    <row r="8" spans="1:10" s="61" customFormat="1" ht="17.100000000000001" customHeight="1" x14ac:dyDescent="0.25">
      <c r="B8" s="63">
        <v>46204</v>
      </c>
      <c r="C8" s="120"/>
      <c r="D8" s="64" t="s">
        <v>11</v>
      </c>
      <c r="E8" s="65"/>
      <c r="F8" s="66"/>
      <c r="G8" s="67"/>
      <c r="H8" s="68">
        <v>647797</v>
      </c>
      <c r="J8" s="62"/>
    </row>
    <row r="9" spans="1:10" s="61" customFormat="1" ht="17.100000000000001" customHeight="1" x14ac:dyDescent="0.25">
      <c r="B9" s="69">
        <v>46204</v>
      </c>
      <c r="C9" s="121" t="s">
        <v>30</v>
      </c>
      <c r="D9" s="85" t="s">
        <v>21</v>
      </c>
      <c r="E9" s="71" t="s">
        <v>22</v>
      </c>
      <c r="F9" s="86"/>
      <c r="G9" s="73">
        <v>28000</v>
      </c>
      <c r="H9" s="74">
        <f>H8+F9-G9</f>
        <v>619797</v>
      </c>
      <c r="J9" s="62"/>
    </row>
    <row r="10" spans="1:10" s="61" customFormat="1" ht="17.100000000000001" customHeight="1" x14ac:dyDescent="0.25">
      <c r="B10" s="69">
        <v>46204</v>
      </c>
      <c r="C10" s="125" t="s">
        <v>23</v>
      </c>
      <c r="D10" s="70" t="s">
        <v>24</v>
      </c>
      <c r="E10" s="71" t="s">
        <v>25</v>
      </c>
      <c r="F10" s="79"/>
      <c r="G10" s="73">
        <v>25000</v>
      </c>
      <c r="H10" s="74">
        <f t="shared" ref="H10:H76" si="0">H9+F10-G10</f>
        <v>594797</v>
      </c>
      <c r="J10" s="62"/>
    </row>
    <row r="11" spans="1:10" ht="17.100000000000001" customHeight="1" x14ac:dyDescent="0.25">
      <c r="B11" s="69">
        <v>46204</v>
      </c>
      <c r="C11" s="121" t="s">
        <v>28</v>
      </c>
      <c r="D11" s="70" t="s">
        <v>26</v>
      </c>
      <c r="E11" s="71" t="s">
        <v>25</v>
      </c>
      <c r="F11" s="79"/>
      <c r="G11" s="73">
        <v>25000</v>
      </c>
      <c r="H11" s="74">
        <f t="shared" si="0"/>
        <v>569797</v>
      </c>
      <c r="J11" s="76"/>
    </row>
    <row r="12" spans="1:10" ht="17.100000000000001" customHeight="1" x14ac:dyDescent="0.25">
      <c r="B12" s="69">
        <v>46204</v>
      </c>
      <c r="C12" s="125" t="s">
        <v>29</v>
      </c>
      <c r="D12" s="77" t="s">
        <v>27</v>
      </c>
      <c r="E12" s="71" t="s">
        <v>25</v>
      </c>
      <c r="F12" s="79"/>
      <c r="G12" s="73">
        <v>50000</v>
      </c>
      <c r="H12" s="74">
        <f t="shared" si="0"/>
        <v>519797</v>
      </c>
      <c r="J12" s="76"/>
    </row>
    <row r="13" spans="1:10" ht="17.100000000000001" customHeight="1" x14ac:dyDescent="0.25">
      <c r="B13" s="63">
        <v>46205</v>
      </c>
      <c r="C13" s="120" t="s">
        <v>40</v>
      </c>
      <c r="D13" s="110" t="s">
        <v>32</v>
      </c>
      <c r="E13" s="111" t="s">
        <v>18</v>
      </c>
      <c r="F13" s="86">
        <v>6000000</v>
      </c>
      <c r="G13" s="84"/>
      <c r="H13" s="68">
        <f t="shared" si="0"/>
        <v>6519797</v>
      </c>
      <c r="J13" s="76"/>
    </row>
    <row r="14" spans="1:10" ht="17.100000000000001" customHeight="1" x14ac:dyDescent="0.25">
      <c r="B14" s="69">
        <v>46205</v>
      </c>
      <c r="C14" s="121" t="s">
        <v>50</v>
      </c>
      <c r="D14" s="85" t="s">
        <v>39</v>
      </c>
      <c r="E14" s="71" t="s">
        <v>38</v>
      </c>
      <c r="F14" s="79"/>
      <c r="G14" s="73">
        <v>22500</v>
      </c>
      <c r="H14" s="74">
        <f t="shared" si="0"/>
        <v>6497297</v>
      </c>
      <c r="J14" s="76"/>
    </row>
    <row r="15" spans="1:10" ht="17.100000000000001" customHeight="1" x14ac:dyDescent="0.25">
      <c r="A15" s="75">
        <v>8</v>
      </c>
      <c r="B15" s="69">
        <v>46205</v>
      </c>
      <c r="C15" s="121" t="s">
        <v>33</v>
      </c>
      <c r="D15" s="70" t="s">
        <v>36</v>
      </c>
      <c r="E15" s="71" t="s">
        <v>34</v>
      </c>
      <c r="F15" s="79"/>
      <c r="G15" s="73">
        <v>25000</v>
      </c>
      <c r="H15" s="74">
        <f t="shared" si="0"/>
        <v>6472297</v>
      </c>
      <c r="J15" s="76"/>
    </row>
    <row r="16" spans="1:10" ht="17.100000000000001" customHeight="1" x14ac:dyDescent="0.25">
      <c r="B16" s="69">
        <v>46205</v>
      </c>
      <c r="C16" s="125" t="s">
        <v>28</v>
      </c>
      <c r="D16" s="77" t="s">
        <v>37</v>
      </c>
      <c r="E16" s="71" t="s">
        <v>34</v>
      </c>
      <c r="F16" s="79"/>
      <c r="G16" s="73">
        <v>25000</v>
      </c>
      <c r="H16" s="74">
        <f t="shared" si="0"/>
        <v>6447297</v>
      </c>
      <c r="J16" s="76"/>
    </row>
    <row r="17" spans="2:10" ht="17.100000000000001" customHeight="1" x14ac:dyDescent="0.25">
      <c r="B17" s="69">
        <v>46205</v>
      </c>
      <c r="C17" s="121" t="s">
        <v>157</v>
      </c>
      <c r="D17" s="85" t="s">
        <v>52</v>
      </c>
      <c r="E17" s="71" t="s">
        <v>51</v>
      </c>
      <c r="F17" s="79"/>
      <c r="G17" s="73">
        <v>50000</v>
      </c>
      <c r="H17" s="74">
        <f t="shared" si="0"/>
        <v>6397297</v>
      </c>
      <c r="J17" s="76"/>
    </row>
    <row r="18" spans="2:10" ht="17.100000000000001" customHeight="1" x14ac:dyDescent="0.25">
      <c r="B18" s="69">
        <v>46205</v>
      </c>
      <c r="C18" s="121" t="s">
        <v>165</v>
      </c>
      <c r="D18" s="77" t="s">
        <v>53</v>
      </c>
      <c r="E18" s="71" t="s">
        <v>51</v>
      </c>
      <c r="F18" s="79"/>
      <c r="G18" s="73">
        <v>34000</v>
      </c>
      <c r="H18" s="74">
        <f t="shared" si="0"/>
        <v>6363297</v>
      </c>
      <c r="J18" s="76"/>
    </row>
    <row r="19" spans="2:10" ht="17.100000000000001" customHeight="1" x14ac:dyDescent="0.25">
      <c r="B19" s="69">
        <v>46205</v>
      </c>
      <c r="C19" s="121" t="s">
        <v>166</v>
      </c>
      <c r="D19" s="70" t="s">
        <v>55</v>
      </c>
      <c r="E19" s="71" t="s">
        <v>54</v>
      </c>
      <c r="F19" s="79"/>
      <c r="G19" s="73">
        <v>150000</v>
      </c>
      <c r="H19" s="74">
        <f t="shared" si="0"/>
        <v>6213297</v>
      </c>
      <c r="J19" s="76"/>
    </row>
    <row r="20" spans="2:10" ht="17.100000000000001" customHeight="1" x14ac:dyDescent="0.25">
      <c r="B20" s="69">
        <v>46205</v>
      </c>
      <c r="C20" s="121" t="s">
        <v>164</v>
      </c>
      <c r="D20" s="77" t="s">
        <v>56</v>
      </c>
      <c r="E20" s="71" t="s">
        <v>51</v>
      </c>
      <c r="F20" s="79"/>
      <c r="G20" s="73">
        <v>100000</v>
      </c>
      <c r="H20" s="74">
        <f t="shared" si="0"/>
        <v>6113297</v>
      </c>
      <c r="J20" s="76"/>
    </row>
    <row r="21" spans="2:10" ht="17.100000000000001" customHeight="1" x14ac:dyDescent="0.25">
      <c r="B21" s="69">
        <v>46205</v>
      </c>
      <c r="C21" s="121" t="s">
        <v>163</v>
      </c>
      <c r="D21" s="85" t="s">
        <v>57</v>
      </c>
      <c r="E21" s="71" t="s">
        <v>58</v>
      </c>
      <c r="F21" s="79"/>
      <c r="G21" s="73">
        <v>50000</v>
      </c>
      <c r="H21" s="74">
        <f t="shared" si="0"/>
        <v>6063297</v>
      </c>
      <c r="J21" s="76"/>
    </row>
    <row r="22" spans="2:10" ht="17.100000000000001" customHeight="1" x14ac:dyDescent="0.25">
      <c r="B22" s="69">
        <v>46205</v>
      </c>
      <c r="C22" s="121" t="s">
        <v>162</v>
      </c>
      <c r="D22" s="70" t="s">
        <v>59</v>
      </c>
      <c r="E22" s="71" t="s">
        <v>51</v>
      </c>
      <c r="F22" s="72"/>
      <c r="G22" s="73">
        <v>80000</v>
      </c>
      <c r="H22" s="74">
        <f t="shared" si="0"/>
        <v>5983297</v>
      </c>
      <c r="J22" s="76"/>
    </row>
    <row r="23" spans="2:10" ht="17.100000000000001" customHeight="1" x14ac:dyDescent="0.25">
      <c r="B23" s="69">
        <v>46205</v>
      </c>
      <c r="C23" s="121" t="s">
        <v>164</v>
      </c>
      <c r="D23" s="70" t="s">
        <v>60</v>
      </c>
      <c r="E23" s="71" t="s">
        <v>61</v>
      </c>
      <c r="F23" s="79"/>
      <c r="G23" s="73">
        <v>130000</v>
      </c>
      <c r="H23" s="74">
        <f t="shared" si="0"/>
        <v>5853297</v>
      </c>
      <c r="J23" s="76"/>
    </row>
    <row r="24" spans="2:10" ht="17.100000000000001" customHeight="1" x14ac:dyDescent="0.25">
      <c r="B24" s="69">
        <v>46205</v>
      </c>
      <c r="C24" s="121" t="s">
        <v>157</v>
      </c>
      <c r="D24" s="70" t="s">
        <v>62</v>
      </c>
      <c r="E24" s="71" t="s">
        <v>49</v>
      </c>
      <c r="F24" s="79"/>
      <c r="G24" s="73">
        <v>520000</v>
      </c>
      <c r="H24" s="74">
        <f t="shared" si="0"/>
        <v>5333297</v>
      </c>
      <c r="J24" s="76"/>
    </row>
    <row r="25" spans="2:10" ht="17.100000000000001" customHeight="1" x14ac:dyDescent="0.25">
      <c r="B25" s="69">
        <v>46205</v>
      </c>
      <c r="C25" s="121" t="s">
        <v>157</v>
      </c>
      <c r="D25" s="70" t="s">
        <v>64</v>
      </c>
      <c r="E25" s="71" t="s">
        <v>63</v>
      </c>
      <c r="F25" s="79"/>
      <c r="G25" s="73">
        <v>105000</v>
      </c>
      <c r="H25" s="74">
        <f t="shared" si="0"/>
        <v>5228297</v>
      </c>
      <c r="J25" s="76"/>
    </row>
    <row r="26" spans="2:10" ht="17.100000000000001" customHeight="1" x14ac:dyDescent="0.25">
      <c r="B26" s="69">
        <v>46205</v>
      </c>
      <c r="C26" s="129" t="s">
        <v>181</v>
      </c>
      <c r="D26" s="70" t="s">
        <v>65</v>
      </c>
      <c r="E26" s="71" t="s">
        <v>51</v>
      </c>
      <c r="F26" s="79"/>
      <c r="G26" s="73">
        <v>380500</v>
      </c>
      <c r="H26" s="74">
        <f t="shared" si="0"/>
        <v>4847797</v>
      </c>
      <c r="J26" s="76"/>
    </row>
    <row r="27" spans="2:10" ht="17.100000000000001" customHeight="1" x14ac:dyDescent="0.25">
      <c r="B27" s="69">
        <v>46205</v>
      </c>
      <c r="C27" s="125" t="s">
        <v>163</v>
      </c>
      <c r="D27" s="70" t="s">
        <v>69</v>
      </c>
      <c r="E27" s="71" t="s">
        <v>70</v>
      </c>
      <c r="F27" s="79"/>
      <c r="G27" s="73">
        <v>25000</v>
      </c>
      <c r="H27" s="74">
        <f t="shared" si="0"/>
        <v>4822797</v>
      </c>
      <c r="J27" s="76"/>
    </row>
    <row r="28" spans="2:10" ht="17.100000000000001" customHeight="1" x14ac:dyDescent="0.25">
      <c r="B28" s="69">
        <v>46205</v>
      </c>
      <c r="C28" s="121" t="s">
        <v>35</v>
      </c>
      <c r="D28" s="70" t="s">
        <v>66</v>
      </c>
      <c r="E28" s="71" t="s">
        <v>70</v>
      </c>
      <c r="F28" s="79"/>
      <c r="G28" s="73">
        <v>25000</v>
      </c>
      <c r="H28" s="74">
        <f t="shared" si="0"/>
        <v>4797797</v>
      </c>
      <c r="J28" s="76"/>
    </row>
    <row r="29" spans="2:10" ht="17.100000000000001" customHeight="1" x14ac:dyDescent="0.25">
      <c r="B29" s="69">
        <v>46205</v>
      </c>
      <c r="C29" s="125" t="s">
        <v>67</v>
      </c>
      <c r="D29" s="77" t="s">
        <v>68</v>
      </c>
      <c r="E29" s="71" t="s">
        <v>70</v>
      </c>
      <c r="F29" s="79"/>
      <c r="G29" s="73">
        <v>50000</v>
      </c>
      <c r="H29" s="74">
        <f t="shared" si="0"/>
        <v>4747797</v>
      </c>
      <c r="J29" s="76"/>
    </row>
    <row r="30" spans="2:10" ht="17.100000000000001" customHeight="1" x14ac:dyDescent="0.25">
      <c r="B30" s="69">
        <v>46205</v>
      </c>
      <c r="C30" s="125" t="s">
        <v>23</v>
      </c>
      <c r="D30" s="70" t="s">
        <v>24</v>
      </c>
      <c r="E30" s="71" t="s">
        <v>25</v>
      </c>
      <c r="F30" s="79"/>
      <c r="G30" s="73">
        <v>25000</v>
      </c>
      <c r="H30" s="74">
        <f t="shared" si="0"/>
        <v>4722797</v>
      </c>
      <c r="J30" s="76"/>
    </row>
    <row r="31" spans="2:10" ht="17.100000000000001" customHeight="1" x14ac:dyDescent="0.25">
      <c r="B31" s="69">
        <v>46205</v>
      </c>
      <c r="C31" s="121" t="s">
        <v>28</v>
      </c>
      <c r="D31" s="70" t="s">
        <v>26</v>
      </c>
      <c r="E31" s="71" t="s">
        <v>25</v>
      </c>
      <c r="F31" s="79"/>
      <c r="G31" s="73">
        <v>25000</v>
      </c>
      <c r="H31" s="74">
        <f t="shared" si="0"/>
        <v>4697797</v>
      </c>
      <c r="J31" s="76"/>
    </row>
    <row r="32" spans="2:10" ht="17.100000000000001" customHeight="1" x14ac:dyDescent="0.25">
      <c r="B32" s="69">
        <v>46205</v>
      </c>
      <c r="C32" s="125" t="s">
        <v>29</v>
      </c>
      <c r="D32" s="77" t="s">
        <v>27</v>
      </c>
      <c r="E32" s="71" t="s">
        <v>25</v>
      </c>
      <c r="F32" s="79"/>
      <c r="G32" s="73">
        <v>50000</v>
      </c>
      <c r="H32" s="74">
        <f t="shared" si="0"/>
        <v>4647797</v>
      </c>
      <c r="J32" s="76"/>
    </row>
    <row r="33" spans="2:10" ht="17.100000000000001" customHeight="1" x14ac:dyDescent="0.25">
      <c r="B33" s="69">
        <v>46205</v>
      </c>
      <c r="C33" s="121" t="s">
        <v>33</v>
      </c>
      <c r="D33" s="70" t="s">
        <v>71</v>
      </c>
      <c r="E33" s="71" t="s">
        <v>34</v>
      </c>
      <c r="F33" s="79"/>
      <c r="G33" s="73">
        <v>25000</v>
      </c>
      <c r="H33" s="74">
        <f t="shared" si="0"/>
        <v>4622797</v>
      </c>
      <c r="J33" s="76"/>
    </row>
    <row r="34" spans="2:10" ht="17.100000000000001" customHeight="1" x14ac:dyDescent="0.25">
      <c r="B34" s="69">
        <v>46205</v>
      </c>
      <c r="C34" s="125" t="s">
        <v>28</v>
      </c>
      <c r="D34" s="77" t="s">
        <v>72</v>
      </c>
      <c r="E34" s="71" t="s">
        <v>34</v>
      </c>
      <c r="F34" s="79"/>
      <c r="G34" s="73">
        <v>25000</v>
      </c>
      <c r="H34" s="74">
        <f t="shared" si="0"/>
        <v>4597797</v>
      </c>
      <c r="J34" s="76"/>
    </row>
    <row r="35" spans="2:10" ht="17.100000000000001" customHeight="1" x14ac:dyDescent="0.25">
      <c r="B35" s="69">
        <v>46206</v>
      </c>
      <c r="C35" s="121" t="s">
        <v>171</v>
      </c>
      <c r="D35" s="70" t="s">
        <v>73</v>
      </c>
      <c r="E35" s="71" t="s">
        <v>74</v>
      </c>
      <c r="F35" s="79"/>
      <c r="G35" s="73">
        <v>140000</v>
      </c>
      <c r="H35" s="74">
        <f t="shared" si="0"/>
        <v>4457797</v>
      </c>
      <c r="J35" s="76"/>
    </row>
    <row r="36" spans="2:10" ht="17.100000000000001" customHeight="1" x14ac:dyDescent="0.25">
      <c r="B36" s="69">
        <v>46206</v>
      </c>
      <c r="C36" s="121" t="s">
        <v>162</v>
      </c>
      <c r="D36" s="77" t="s">
        <v>75</v>
      </c>
      <c r="E36" s="71" t="s">
        <v>74</v>
      </c>
      <c r="F36" s="79"/>
      <c r="G36" s="73">
        <v>156000</v>
      </c>
      <c r="H36" s="74">
        <f t="shared" si="0"/>
        <v>4301797</v>
      </c>
      <c r="J36" s="76"/>
    </row>
    <row r="37" spans="2:10" ht="17.100000000000001" customHeight="1" x14ac:dyDescent="0.25">
      <c r="B37" s="69">
        <v>46206</v>
      </c>
      <c r="C37" s="121" t="s">
        <v>157</v>
      </c>
      <c r="D37" s="78" t="s">
        <v>76</v>
      </c>
      <c r="E37" s="88" t="s">
        <v>49</v>
      </c>
      <c r="F37" s="72"/>
      <c r="G37" s="73">
        <v>195000</v>
      </c>
      <c r="H37" s="74">
        <f t="shared" si="0"/>
        <v>4106797</v>
      </c>
      <c r="J37" s="76"/>
    </row>
    <row r="38" spans="2:10" ht="17.100000000000001" customHeight="1" x14ac:dyDescent="0.25">
      <c r="B38" s="69">
        <v>46206</v>
      </c>
      <c r="C38" s="121" t="s">
        <v>167</v>
      </c>
      <c r="D38" s="70" t="s">
        <v>78</v>
      </c>
      <c r="E38" s="71" t="s">
        <v>70</v>
      </c>
      <c r="F38" s="79"/>
      <c r="G38" s="73">
        <v>125000</v>
      </c>
      <c r="H38" s="74">
        <f t="shared" si="0"/>
        <v>3981797</v>
      </c>
      <c r="J38" s="76"/>
    </row>
    <row r="39" spans="2:10" ht="17.100000000000001" customHeight="1" x14ac:dyDescent="0.25">
      <c r="B39" s="69">
        <v>46206</v>
      </c>
      <c r="C39" s="121" t="s">
        <v>117</v>
      </c>
      <c r="D39" s="70" t="s">
        <v>77</v>
      </c>
      <c r="E39" s="71" t="s">
        <v>70</v>
      </c>
      <c r="F39" s="79"/>
      <c r="G39" s="73">
        <v>30000</v>
      </c>
      <c r="H39" s="74">
        <f t="shared" si="0"/>
        <v>3951797</v>
      </c>
      <c r="J39" s="76"/>
    </row>
    <row r="40" spans="2:10" ht="17.100000000000001" customHeight="1" x14ac:dyDescent="0.25">
      <c r="B40" s="69">
        <v>46206</v>
      </c>
      <c r="C40" s="125" t="s">
        <v>23</v>
      </c>
      <c r="D40" s="70" t="s">
        <v>24</v>
      </c>
      <c r="E40" s="71" t="s">
        <v>25</v>
      </c>
      <c r="F40" s="79"/>
      <c r="G40" s="73">
        <v>25000</v>
      </c>
      <c r="H40" s="74">
        <f t="shared" si="0"/>
        <v>3926797</v>
      </c>
      <c r="J40" s="76"/>
    </row>
    <row r="41" spans="2:10" ht="17.100000000000001" customHeight="1" x14ac:dyDescent="0.25">
      <c r="B41" s="69">
        <v>46206</v>
      </c>
      <c r="C41" s="121" t="s">
        <v>28</v>
      </c>
      <c r="D41" s="70" t="s">
        <v>26</v>
      </c>
      <c r="E41" s="71" t="s">
        <v>25</v>
      </c>
      <c r="F41" s="79"/>
      <c r="G41" s="73">
        <v>25000</v>
      </c>
      <c r="H41" s="74">
        <f t="shared" si="0"/>
        <v>3901797</v>
      </c>
      <c r="J41" s="76"/>
    </row>
    <row r="42" spans="2:10" ht="17.100000000000001" customHeight="1" x14ac:dyDescent="0.25">
      <c r="B42" s="69">
        <v>46206</v>
      </c>
      <c r="C42" s="125" t="s">
        <v>29</v>
      </c>
      <c r="D42" s="77" t="s">
        <v>27</v>
      </c>
      <c r="E42" s="71" t="s">
        <v>25</v>
      </c>
      <c r="F42" s="79"/>
      <c r="G42" s="73">
        <v>50000</v>
      </c>
      <c r="H42" s="74">
        <f t="shared" si="0"/>
        <v>3851797</v>
      </c>
      <c r="J42" s="76"/>
    </row>
    <row r="43" spans="2:10" ht="17.100000000000001" customHeight="1" x14ac:dyDescent="0.25">
      <c r="B43" s="69">
        <v>46206</v>
      </c>
      <c r="C43" s="121" t="s">
        <v>33</v>
      </c>
      <c r="D43" s="70" t="s">
        <v>71</v>
      </c>
      <c r="E43" s="71" t="s">
        <v>34</v>
      </c>
      <c r="F43" s="79"/>
      <c r="G43" s="73">
        <v>25000</v>
      </c>
      <c r="H43" s="74">
        <f t="shared" si="0"/>
        <v>3826797</v>
      </c>
      <c r="J43" s="76"/>
    </row>
    <row r="44" spans="2:10" ht="17.100000000000001" customHeight="1" x14ac:dyDescent="0.25">
      <c r="B44" s="69">
        <v>46206</v>
      </c>
      <c r="C44" s="125" t="s">
        <v>35</v>
      </c>
      <c r="D44" s="77" t="s">
        <v>72</v>
      </c>
      <c r="E44" s="71" t="s">
        <v>34</v>
      </c>
      <c r="F44" s="79"/>
      <c r="G44" s="73">
        <v>25000</v>
      </c>
      <c r="H44" s="74">
        <f t="shared" si="0"/>
        <v>3801797</v>
      </c>
      <c r="J44" s="76"/>
    </row>
    <row r="45" spans="2:10" ht="17.100000000000001" customHeight="1" x14ac:dyDescent="0.25">
      <c r="B45" s="69">
        <v>46206</v>
      </c>
      <c r="C45" s="121" t="s">
        <v>67</v>
      </c>
      <c r="D45" s="78" t="s">
        <v>79</v>
      </c>
      <c r="E45" s="71" t="s">
        <v>34</v>
      </c>
      <c r="F45" s="79"/>
      <c r="G45" s="73">
        <v>50000</v>
      </c>
      <c r="H45" s="74">
        <f t="shared" si="0"/>
        <v>3751797</v>
      </c>
      <c r="J45" s="76"/>
    </row>
    <row r="46" spans="2:10" ht="17.100000000000001" customHeight="1" x14ac:dyDescent="0.25">
      <c r="B46" s="69">
        <v>46206</v>
      </c>
      <c r="C46" s="121" t="s">
        <v>81</v>
      </c>
      <c r="D46" s="78" t="s">
        <v>82</v>
      </c>
      <c r="E46" s="71" t="s">
        <v>80</v>
      </c>
      <c r="F46" s="79"/>
      <c r="G46" s="73">
        <v>25000</v>
      </c>
      <c r="H46" s="74">
        <f t="shared" si="0"/>
        <v>3726797</v>
      </c>
      <c r="J46" s="76"/>
    </row>
    <row r="47" spans="2:10" ht="17.100000000000001" customHeight="1" x14ac:dyDescent="0.25">
      <c r="B47" s="69">
        <v>46206</v>
      </c>
      <c r="C47" s="121" t="s">
        <v>35</v>
      </c>
      <c r="D47" s="70" t="s">
        <v>83</v>
      </c>
      <c r="E47" s="71" t="s">
        <v>80</v>
      </c>
      <c r="F47" s="79"/>
      <c r="G47" s="73">
        <v>25000</v>
      </c>
      <c r="H47" s="74">
        <f t="shared" si="0"/>
        <v>3701797</v>
      </c>
      <c r="J47" s="76"/>
    </row>
    <row r="48" spans="2:10" ht="17.100000000000001" customHeight="1" x14ac:dyDescent="0.25">
      <c r="B48" s="69">
        <v>46206</v>
      </c>
      <c r="C48" s="125" t="s">
        <v>67</v>
      </c>
      <c r="D48" s="77" t="s">
        <v>84</v>
      </c>
      <c r="E48" s="71" t="s">
        <v>80</v>
      </c>
      <c r="F48" s="79"/>
      <c r="G48" s="73">
        <v>50000</v>
      </c>
      <c r="H48" s="74">
        <f t="shared" si="0"/>
        <v>3651797</v>
      </c>
      <c r="J48" s="76"/>
    </row>
    <row r="49" spans="2:10" ht="17.100000000000001" customHeight="1" x14ac:dyDescent="0.25">
      <c r="B49" s="69">
        <v>46206</v>
      </c>
      <c r="C49" s="121" t="s">
        <v>162</v>
      </c>
      <c r="D49" s="70" t="s">
        <v>102</v>
      </c>
      <c r="E49" s="71" t="s">
        <v>51</v>
      </c>
      <c r="F49" s="79"/>
      <c r="G49" s="73">
        <v>155000</v>
      </c>
      <c r="H49" s="74">
        <f t="shared" si="0"/>
        <v>3496797</v>
      </c>
      <c r="J49" s="76"/>
    </row>
    <row r="50" spans="2:10" ht="17.100000000000001" customHeight="1" x14ac:dyDescent="0.25">
      <c r="B50" s="69">
        <v>46206</v>
      </c>
      <c r="C50" s="121" t="s">
        <v>157</v>
      </c>
      <c r="D50" s="77" t="s">
        <v>104</v>
      </c>
      <c r="E50" s="71" t="s">
        <v>103</v>
      </c>
      <c r="F50" s="79"/>
      <c r="G50" s="73">
        <v>400000</v>
      </c>
      <c r="H50" s="74">
        <f t="shared" si="0"/>
        <v>3096797</v>
      </c>
      <c r="J50" s="76"/>
    </row>
    <row r="51" spans="2:10" ht="17.100000000000001" customHeight="1" x14ac:dyDescent="0.25">
      <c r="B51" s="69">
        <v>46206</v>
      </c>
      <c r="C51" s="121" t="s">
        <v>168</v>
      </c>
      <c r="D51" s="78" t="s">
        <v>105</v>
      </c>
      <c r="E51" s="71" t="s">
        <v>51</v>
      </c>
      <c r="F51" s="79"/>
      <c r="G51" s="73">
        <v>503000</v>
      </c>
      <c r="H51" s="74">
        <f t="shared" si="0"/>
        <v>2593797</v>
      </c>
      <c r="J51" s="76"/>
    </row>
    <row r="52" spans="2:10" ht="17.100000000000001" customHeight="1" x14ac:dyDescent="0.25">
      <c r="B52" s="69">
        <v>46207</v>
      </c>
      <c r="C52" s="125" t="s">
        <v>23</v>
      </c>
      <c r="D52" s="70" t="s">
        <v>86</v>
      </c>
      <c r="E52" s="71" t="s">
        <v>25</v>
      </c>
      <c r="F52" s="79"/>
      <c r="G52" s="73">
        <v>25000</v>
      </c>
      <c r="H52" s="74">
        <f t="shared" si="0"/>
        <v>2568797</v>
      </c>
      <c r="J52" s="76"/>
    </row>
    <row r="53" spans="2:10" ht="17.100000000000001" customHeight="1" x14ac:dyDescent="0.25">
      <c r="B53" s="69">
        <v>46207</v>
      </c>
      <c r="C53" s="121" t="s">
        <v>28</v>
      </c>
      <c r="D53" s="70" t="s">
        <v>87</v>
      </c>
      <c r="E53" s="71" t="s">
        <v>25</v>
      </c>
      <c r="F53" s="79"/>
      <c r="G53" s="73">
        <v>25000</v>
      </c>
      <c r="H53" s="74">
        <f t="shared" si="0"/>
        <v>2543797</v>
      </c>
      <c r="J53" s="76"/>
    </row>
    <row r="54" spans="2:10" ht="17.100000000000001" customHeight="1" x14ac:dyDescent="0.25">
      <c r="B54" s="69">
        <v>46207</v>
      </c>
      <c r="C54" s="125" t="s">
        <v>29</v>
      </c>
      <c r="D54" s="77" t="s">
        <v>88</v>
      </c>
      <c r="E54" s="71" t="s">
        <v>25</v>
      </c>
      <c r="F54" s="79"/>
      <c r="G54" s="73">
        <v>50000</v>
      </c>
      <c r="H54" s="74">
        <f t="shared" si="0"/>
        <v>2493797</v>
      </c>
      <c r="J54" s="76"/>
    </row>
    <row r="55" spans="2:10" ht="17.100000000000001" customHeight="1" x14ac:dyDescent="0.25">
      <c r="B55" s="69">
        <v>46207</v>
      </c>
      <c r="C55" s="121" t="s">
        <v>81</v>
      </c>
      <c r="D55" s="78" t="s">
        <v>82</v>
      </c>
      <c r="E55" s="71" t="s">
        <v>80</v>
      </c>
      <c r="F55" s="79"/>
      <c r="G55" s="73">
        <v>25000</v>
      </c>
      <c r="H55" s="74">
        <f t="shared" si="0"/>
        <v>2468797</v>
      </c>
      <c r="J55" s="76"/>
    </row>
    <row r="56" spans="2:10" ht="17.100000000000001" customHeight="1" x14ac:dyDescent="0.25">
      <c r="B56" s="69">
        <v>46207</v>
      </c>
      <c r="C56" s="121" t="s">
        <v>35</v>
      </c>
      <c r="D56" s="70" t="s">
        <v>83</v>
      </c>
      <c r="E56" s="71" t="s">
        <v>80</v>
      </c>
      <c r="F56" s="79"/>
      <c r="G56" s="73">
        <v>25000</v>
      </c>
      <c r="H56" s="74">
        <f t="shared" si="0"/>
        <v>2443797</v>
      </c>
      <c r="J56" s="76"/>
    </row>
    <row r="57" spans="2:10" ht="17.100000000000001" customHeight="1" x14ac:dyDescent="0.25">
      <c r="B57" s="69">
        <v>46207</v>
      </c>
      <c r="C57" s="125" t="s">
        <v>67</v>
      </c>
      <c r="D57" s="77" t="s">
        <v>85</v>
      </c>
      <c r="E57" s="71" t="s">
        <v>80</v>
      </c>
      <c r="F57" s="79"/>
      <c r="G57" s="73">
        <v>50000</v>
      </c>
      <c r="H57" s="74">
        <f t="shared" si="0"/>
        <v>2393797</v>
      </c>
      <c r="J57" s="76"/>
    </row>
    <row r="58" spans="2:10" ht="17.100000000000001" customHeight="1" x14ac:dyDescent="0.25">
      <c r="B58" s="69">
        <v>46207</v>
      </c>
      <c r="C58" s="121" t="s">
        <v>33</v>
      </c>
      <c r="D58" s="70" t="s">
        <v>71</v>
      </c>
      <c r="E58" s="71" t="s">
        <v>34</v>
      </c>
      <c r="F58" s="79"/>
      <c r="G58" s="73">
        <v>25000</v>
      </c>
      <c r="H58" s="74">
        <f t="shared" si="0"/>
        <v>2368797</v>
      </c>
      <c r="J58" s="76"/>
    </row>
    <row r="59" spans="2:10" ht="17.100000000000001" customHeight="1" x14ac:dyDescent="0.25">
      <c r="B59" s="69">
        <v>46207</v>
      </c>
      <c r="C59" s="125" t="s">
        <v>35</v>
      </c>
      <c r="D59" s="77" t="s">
        <v>72</v>
      </c>
      <c r="E59" s="71" t="s">
        <v>34</v>
      </c>
      <c r="F59" s="79"/>
      <c r="G59" s="73">
        <v>25000</v>
      </c>
      <c r="H59" s="74">
        <f t="shared" si="0"/>
        <v>2343797</v>
      </c>
      <c r="J59" s="76"/>
    </row>
    <row r="60" spans="2:10" ht="17.100000000000001" customHeight="1" x14ac:dyDescent="0.25">
      <c r="B60" s="69">
        <v>46207</v>
      </c>
      <c r="C60" s="121" t="s">
        <v>67</v>
      </c>
      <c r="D60" s="78" t="s">
        <v>79</v>
      </c>
      <c r="E60" s="71" t="s">
        <v>34</v>
      </c>
      <c r="F60" s="79"/>
      <c r="G60" s="73">
        <v>50000</v>
      </c>
      <c r="H60" s="74">
        <f t="shared" si="0"/>
        <v>2293797</v>
      </c>
      <c r="J60" s="76"/>
    </row>
    <row r="61" spans="2:10" ht="17.100000000000001" customHeight="1" x14ac:dyDescent="0.25">
      <c r="B61" s="69">
        <v>46207</v>
      </c>
      <c r="C61" s="125" t="s">
        <v>23</v>
      </c>
      <c r="D61" s="70" t="s">
        <v>89</v>
      </c>
      <c r="E61" s="71" t="s">
        <v>25</v>
      </c>
      <c r="F61" s="79"/>
      <c r="G61" s="73">
        <v>25000</v>
      </c>
      <c r="H61" s="74">
        <f t="shared" si="0"/>
        <v>2268797</v>
      </c>
      <c r="J61" s="76"/>
    </row>
    <row r="62" spans="2:10" ht="17.100000000000001" customHeight="1" x14ac:dyDescent="0.25">
      <c r="B62" s="69">
        <v>46207</v>
      </c>
      <c r="C62" s="121" t="s">
        <v>28</v>
      </c>
      <c r="D62" s="70" t="s">
        <v>90</v>
      </c>
      <c r="E62" s="71" t="s">
        <v>25</v>
      </c>
      <c r="F62" s="79"/>
      <c r="G62" s="73">
        <v>25000</v>
      </c>
      <c r="H62" s="74">
        <f t="shared" si="0"/>
        <v>2243797</v>
      </c>
      <c r="J62" s="76"/>
    </row>
    <row r="63" spans="2:10" ht="17.100000000000001" customHeight="1" x14ac:dyDescent="0.25">
      <c r="B63" s="69">
        <v>46207</v>
      </c>
      <c r="C63" s="125" t="s">
        <v>29</v>
      </c>
      <c r="D63" s="77" t="s">
        <v>91</v>
      </c>
      <c r="E63" s="71" t="s">
        <v>25</v>
      </c>
      <c r="F63" s="79"/>
      <c r="G63" s="73">
        <v>50000</v>
      </c>
      <c r="H63" s="74">
        <f t="shared" si="0"/>
        <v>2193797</v>
      </c>
      <c r="J63" s="76"/>
    </row>
    <row r="64" spans="2:10" ht="17.100000000000001" customHeight="1" x14ac:dyDescent="0.25">
      <c r="B64" s="69">
        <v>46207</v>
      </c>
      <c r="C64" s="125" t="s">
        <v>163</v>
      </c>
      <c r="D64" s="70" t="s">
        <v>69</v>
      </c>
      <c r="E64" s="71" t="s">
        <v>70</v>
      </c>
      <c r="F64" s="79"/>
      <c r="G64" s="73">
        <v>25000</v>
      </c>
      <c r="H64" s="74">
        <f t="shared" si="0"/>
        <v>2168797</v>
      </c>
      <c r="J64" s="76"/>
    </row>
    <row r="65" spans="1:10" ht="17.100000000000001" customHeight="1" x14ac:dyDescent="0.25">
      <c r="B65" s="69">
        <v>46207</v>
      </c>
      <c r="C65" s="121" t="s">
        <v>35</v>
      </c>
      <c r="D65" s="70" t="s">
        <v>66</v>
      </c>
      <c r="E65" s="71" t="s">
        <v>70</v>
      </c>
      <c r="F65" s="79"/>
      <c r="G65" s="73">
        <v>25000</v>
      </c>
      <c r="H65" s="74">
        <f t="shared" si="0"/>
        <v>2143797</v>
      </c>
      <c r="J65" s="76"/>
    </row>
    <row r="66" spans="1:10" ht="17.100000000000001" customHeight="1" x14ac:dyDescent="0.25">
      <c r="B66" s="69">
        <v>46207</v>
      </c>
      <c r="C66" s="125" t="s">
        <v>67</v>
      </c>
      <c r="D66" s="77" t="s">
        <v>68</v>
      </c>
      <c r="E66" s="71" t="s">
        <v>70</v>
      </c>
      <c r="F66" s="79"/>
      <c r="G66" s="73">
        <v>50000</v>
      </c>
      <c r="H66" s="74">
        <f t="shared" si="0"/>
        <v>2093797</v>
      </c>
      <c r="J66" s="76"/>
    </row>
    <row r="67" spans="1:10" ht="17.100000000000001" customHeight="1" x14ac:dyDescent="0.25">
      <c r="B67" s="69">
        <v>46208</v>
      </c>
      <c r="C67" s="121" t="s">
        <v>165</v>
      </c>
      <c r="D67" s="70" t="s">
        <v>92</v>
      </c>
      <c r="E67" s="71" t="s">
        <v>94</v>
      </c>
      <c r="F67" s="79"/>
      <c r="G67" s="73">
        <v>75000</v>
      </c>
      <c r="H67" s="74">
        <f t="shared" si="0"/>
        <v>2018797</v>
      </c>
      <c r="J67" s="76"/>
    </row>
    <row r="68" spans="1:10" ht="17.100000000000001" customHeight="1" x14ac:dyDescent="0.25">
      <c r="B68" s="69">
        <v>46208</v>
      </c>
      <c r="C68" s="121" t="s">
        <v>165</v>
      </c>
      <c r="D68" s="70" t="s">
        <v>93</v>
      </c>
      <c r="E68" s="71" t="s">
        <v>95</v>
      </c>
      <c r="F68" s="79"/>
      <c r="G68" s="73">
        <v>75000</v>
      </c>
      <c r="H68" s="74">
        <f t="shared" si="0"/>
        <v>1943797</v>
      </c>
      <c r="J68" s="76"/>
    </row>
    <row r="69" spans="1:10" ht="17.100000000000001" customHeight="1" x14ac:dyDescent="0.25">
      <c r="B69" s="69">
        <v>46208</v>
      </c>
      <c r="C69" s="121" t="s">
        <v>157</v>
      </c>
      <c r="D69" s="77" t="s">
        <v>96</v>
      </c>
      <c r="E69" s="71" t="s">
        <v>94</v>
      </c>
      <c r="F69" s="79"/>
      <c r="G69" s="73">
        <v>50000</v>
      </c>
      <c r="H69" s="74">
        <f t="shared" si="0"/>
        <v>1893797</v>
      </c>
      <c r="J69" s="76"/>
    </row>
    <row r="70" spans="1:10" ht="17.100000000000001" customHeight="1" x14ac:dyDescent="0.25">
      <c r="B70" s="69">
        <v>46209</v>
      </c>
      <c r="C70" s="121" t="s">
        <v>101</v>
      </c>
      <c r="D70" s="78" t="s">
        <v>82</v>
      </c>
      <c r="E70" s="71" t="s">
        <v>80</v>
      </c>
      <c r="F70" s="79"/>
      <c r="G70" s="73">
        <v>25000</v>
      </c>
      <c r="H70" s="74">
        <f t="shared" si="0"/>
        <v>1868797</v>
      </c>
      <c r="J70" s="76"/>
    </row>
    <row r="71" spans="1:10" ht="17.100000000000001" customHeight="1" x14ac:dyDescent="0.25">
      <c r="B71" s="69">
        <v>46209</v>
      </c>
      <c r="C71" s="121" t="s">
        <v>100</v>
      </c>
      <c r="D71" s="70" t="s">
        <v>83</v>
      </c>
      <c r="E71" s="71" t="s">
        <v>80</v>
      </c>
      <c r="F71" s="79"/>
      <c r="G71" s="73">
        <v>25000</v>
      </c>
      <c r="H71" s="74">
        <f t="shared" si="0"/>
        <v>1843797</v>
      </c>
      <c r="J71" s="76"/>
    </row>
    <row r="72" spans="1:10" ht="17.100000000000001" customHeight="1" x14ac:dyDescent="0.25">
      <c r="B72" s="69">
        <v>46209</v>
      </c>
      <c r="C72" s="125" t="s">
        <v>99</v>
      </c>
      <c r="D72" s="77" t="s">
        <v>85</v>
      </c>
      <c r="E72" s="71" t="s">
        <v>80</v>
      </c>
      <c r="F72" s="79"/>
      <c r="G72" s="73">
        <v>50000</v>
      </c>
      <c r="H72" s="74">
        <f t="shared" si="0"/>
        <v>1793797</v>
      </c>
      <c r="J72" s="76"/>
    </row>
    <row r="73" spans="1:10" ht="17.100000000000001" customHeight="1" x14ac:dyDescent="0.25">
      <c r="B73" s="69">
        <v>46209</v>
      </c>
      <c r="C73" s="125" t="s">
        <v>23</v>
      </c>
      <c r="D73" s="70" t="s">
        <v>97</v>
      </c>
      <c r="E73" s="71" t="s">
        <v>25</v>
      </c>
      <c r="F73" s="79"/>
      <c r="G73" s="73">
        <v>25000</v>
      </c>
      <c r="H73" s="74">
        <f t="shared" si="0"/>
        <v>1768797</v>
      </c>
      <c r="J73" s="76"/>
    </row>
    <row r="74" spans="1:10" ht="17.100000000000001" customHeight="1" x14ac:dyDescent="0.25">
      <c r="B74" s="69">
        <v>46209</v>
      </c>
      <c r="C74" s="121" t="s">
        <v>28</v>
      </c>
      <c r="D74" s="70" t="s">
        <v>26</v>
      </c>
      <c r="E74" s="71" t="s">
        <v>25</v>
      </c>
      <c r="F74" s="79"/>
      <c r="G74" s="73">
        <v>25000</v>
      </c>
      <c r="H74" s="74">
        <f t="shared" si="0"/>
        <v>1743797</v>
      </c>
      <c r="J74" s="76"/>
    </row>
    <row r="75" spans="1:10" ht="17.100000000000001" customHeight="1" x14ac:dyDescent="0.25">
      <c r="B75" s="69">
        <v>46209</v>
      </c>
      <c r="C75" s="125" t="s">
        <v>29</v>
      </c>
      <c r="D75" s="77" t="s">
        <v>98</v>
      </c>
      <c r="E75" s="71" t="s">
        <v>25</v>
      </c>
      <c r="F75" s="79"/>
      <c r="G75" s="73">
        <v>50000</v>
      </c>
      <c r="H75" s="74">
        <f t="shared" si="0"/>
        <v>1693797</v>
      </c>
      <c r="J75" s="76"/>
    </row>
    <row r="76" spans="1:10" ht="17.100000000000001" customHeight="1" x14ac:dyDescent="0.25">
      <c r="B76" s="69">
        <v>46209</v>
      </c>
      <c r="C76" s="121" t="s">
        <v>174</v>
      </c>
      <c r="D76" s="78" t="s">
        <v>106</v>
      </c>
      <c r="E76" s="71" t="s">
        <v>22</v>
      </c>
      <c r="F76" s="80"/>
      <c r="G76" s="73">
        <v>68000</v>
      </c>
      <c r="H76" s="74">
        <f t="shared" si="0"/>
        <v>1625797</v>
      </c>
      <c r="J76" s="76"/>
    </row>
    <row r="77" spans="1:10" ht="17.100000000000001" customHeight="1" x14ac:dyDescent="0.25">
      <c r="B77" s="69">
        <v>46210</v>
      </c>
      <c r="C77" s="121" t="s">
        <v>162</v>
      </c>
      <c r="D77" s="70" t="s">
        <v>155</v>
      </c>
      <c r="E77" s="71" t="s">
        <v>22</v>
      </c>
      <c r="F77" s="79"/>
      <c r="G77" s="73">
        <v>102000</v>
      </c>
      <c r="H77" s="74">
        <f t="shared" ref="H77:H78" si="1">H76+F77-G77</f>
        <v>1523797</v>
      </c>
      <c r="J77" s="76"/>
    </row>
    <row r="78" spans="1:10" ht="17.100000000000001" customHeight="1" x14ac:dyDescent="0.25">
      <c r="A78" s="119"/>
      <c r="B78" s="69">
        <v>46210</v>
      </c>
      <c r="C78" s="121" t="s">
        <v>157</v>
      </c>
      <c r="D78" s="70" t="s">
        <v>115</v>
      </c>
      <c r="E78" s="71" t="s">
        <v>63</v>
      </c>
      <c r="F78" s="86"/>
      <c r="G78" s="73">
        <v>50000</v>
      </c>
      <c r="H78" s="74">
        <f t="shared" si="1"/>
        <v>1473797</v>
      </c>
      <c r="J78" s="76"/>
    </row>
    <row r="79" spans="1:10" ht="17.100000000000001" customHeight="1" x14ac:dyDescent="0.25">
      <c r="A79" s="119"/>
      <c r="B79" s="69">
        <v>46210</v>
      </c>
      <c r="C79" s="121" t="s">
        <v>157</v>
      </c>
      <c r="D79" s="70" t="s">
        <v>116</v>
      </c>
      <c r="E79" s="71" t="s">
        <v>63</v>
      </c>
      <c r="F79" s="79"/>
      <c r="G79" s="73">
        <v>50000</v>
      </c>
      <c r="H79" s="74">
        <f t="shared" ref="H79:H133" si="2">H78+F79-G79</f>
        <v>1423797</v>
      </c>
      <c r="J79" s="76"/>
    </row>
    <row r="80" spans="1:10" ht="17.100000000000001" customHeight="1" x14ac:dyDescent="0.25">
      <c r="B80" s="69">
        <v>46210</v>
      </c>
      <c r="C80" s="125" t="s">
        <v>23</v>
      </c>
      <c r="D80" s="70" t="s">
        <v>86</v>
      </c>
      <c r="E80" s="71" t="s">
        <v>25</v>
      </c>
      <c r="F80" s="79"/>
      <c r="G80" s="73">
        <v>25000</v>
      </c>
      <c r="H80" s="74">
        <f t="shared" si="2"/>
        <v>1398797</v>
      </c>
      <c r="J80" s="76"/>
    </row>
    <row r="81" spans="1:12" ht="17.100000000000001" customHeight="1" x14ac:dyDescent="0.25">
      <c r="B81" s="69">
        <v>46210</v>
      </c>
      <c r="C81" s="121" t="s">
        <v>28</v>
      </c>
      <c r="D81" s="70" t="s">
        <v>87</v>
      </c>
      <c r="E81" s="71" t="s">
        <v>25</v>
      </c>
      <c r="F81" s="79"/>
      <c r="G81" s="73">
        <v>25000</v>
      </c>
      <c r="H81" s="74">
        <f t="shared" si="2"/>
        <v>1373797</v>
      </c>
      <c r="J81" s="76"/>
    </row>
    <row r="82" spans="1:12" ht="17.100000000000001" customHeight="1" x14ac:dyDescent="0.25">
      <c r="B82" s="69">
        <v>46210</v>
      </c>
      <c r="C82" s="125" t="s">
        <v>29</v>
      </c>
      <c r="D82" s="77" t="s">
        <v>88</v>
      </c>
      <c r="E82" s="71" t="s">
        <v>25</v>
      </c>
      <c r="F82" s="79"/>
      <c r="G82" s="73">
        <v>50000</v>
      </c>
      <c r="H82" s="74">
        <f t="shared" si="2"/>
        <v>1323797</v>
      </c>
      <c r="J82" s="76"/>
    </row>
    <row r="83" spans="1:12" ht="17.100000000000001" customHeight="1" x14ac:dyDescent="0.25">
      <c r="B83" s="69">
        <v>46210</v>
      </c>
      <c r="C83" s="125" t="s">
        <v>163</v>
      </c>
      <c r="D83" s="70" t="s">
        <v>107</v>
      </c>
      <c r="E83" s="71" t="s">
        <v>108</v>
      </c>
      <c r="F83" s="79"/>
      <c r="G83" s="73">
        <v>25000</v>
      </c>
      <c r="H83" s="74">
        <f t="shared" si="2"/>
        <v>1298797</v>
      </c>
      <c r="J83" s="76"/>
    </row>
    <row r="84" spans="1:12" ht="17.100000000000001" customHeight="1" x14ac:dyDescent="0.25">
      <c r="B84" s="69">
        <v>46210</v>
      </c>
      <c r="C84" s="121" t="s">
        <v>35</v>
      </c>
      <c r="D84" s="70" t="s">
        <v>66</v>
      </c>
      <c r="E84" s="71" t="s">
        <v>108</v>
      </c>
      <c r="F84" s="79"/>
      <c r="G84" s="73">
        <v>25000</v>
      </c>
      <c r="H84" s="74">
        <f t="shared" si="2"/>
        <v>1273797</v>
      </c>
      <c r="J84" s="76"/>
    </row>
    <row r="85" spans="1:12" ht="17.100000000000001" customHeight="1" x14ac:dyDescent="0.25">
      <c r="B85" s="69">
        <v>46210</v>
      </c>
      <c r="C85" s="125" t="s">
        <v>67</v>
      </c>
      <c r="D85" s="77" t="s">
        <v>68</v>
      </c>
      <c r="E85" s="71" t="s">
        <v>108</v>
      </c>
      <c r="F85" s="79"/>
      <c r="G85" s="73">
        <v>50000</v>
      </c>
      <c r="H85" s="74">
        <f t="shared" si="2"/>
        <v>1223797</v>
      </c>
      <c r="J85" s="76"/>
    </row>
    <row r="86" spans="1:12" ht="17.100000000000001" customHeight="1" x14ac:dyDescent="0.25">
      <c r="B86" s="69">
        <v>46210</v>
      </c>
      <c r="C86" s="121" t="s">
        <v>160</v>
      </c>
      <c r="D86" s="70" t="s">
        <v>109</v>
      </c>
      <c r="E86" s="71" t="s">
        <v>70</v>
      </c>
      <c r="F86" s="79"/>
      <c r="G86" s="73">
        <v>125000</v>
      </c>
      <c r="H86" s="74">
        <f t="shared" si="2"/>
        <v>1098797</v>
      </c>
      <c r="J86" s="76"/>
    </row>
    <row r="87" spans="1:12" ht="17.100000000000001" customHeight="1" x14ac:dyDescent="0.25">
      <c r="B87" s="69">
        <v>46210</v>
      </c>
      <c r="C87" s="121" t="s">
        <v>117</v>
      </c>
      <c r="D87" s="70" t="s">
        <v>77</v>
      </c>
      <c r="E87" s="71" t="s">
        <v>70</v>
      </c>
      <c r="F87" s="81"/>
      <c r="G87" s="73">
        <v>50000</v>
      </c>
      <c r="H87" s="74">
        <f t="shared" si="2"/>
        <v>1048797</v>
      </c>
      <c r="J87" s="76"/>
    </row>
    <row r="88" spans="1:12" ht="17.100000000000001" customHeight="1" x14ac:dyDescent="0.25">
      <c r="B88" s="69">
        <v>46210</v>
      </c>
      <c r="C88" s="121" t="s">
        <v>101</v>
      </c>
      <c r="D88" s="78" t="s">
        <v>82</v>
      </c>
      <c r="E88" s="71" t="s">
        <v>80</v>
      </c>
      <c r="F88" s="79"/>
      <c r="G88" s="73">
        <v>25000</v>
      </c>
      <c r="H88" s="74">
        <f t="shared" si="2"/>
        <v>1023797</v>
      </c>
      <c r="J88" s="76"/>
    </row>
    <row r="89" spans="1:12" ht="17.100000000000001" customHeight="1" x14ac:dyDescent="0.25">
      <c r="A89" s="75" t="s">
        <v>17</v>
      </c>
      <c r="B89" s="69">
        <v>46210</v>
      </c>
      <c r="C89" s="121" t="s">
        <v>100</v>
      </c>
      <c r="D89" s="70" t="s">
        <v>83</v>
      </c>
      <c r="E89" s="71" t="s">
        <v>80</v>
      </c>
      <c r="F89" s="79"/>
      <c r="G89" s="73">
        <v>25000</v>
      </c>
      <c r="H89" s="74">
        <f t="shared" si="2"/>
        <v>998797</v>
      </c>
      <c r="J89" s="76"/>
    </row>
    <row r="90" spans="1:12" ht="17.100000000000001" customHeight="1" x14ac:dyDescent="0.25">
      <c r="B90" s="69">
        <v>46210</v>
      </c>
      <c r="C90" s="125" t="s">
        <v>99</v>
      </c>
      <c r="D90" s="77" t="s">
        <v>85</v>
      </c>
      <c r="E90" s="71" t="s">
        <v>80</v>
      </c>
      <c r="F90" s="79"/>
      <c r="G90" s="73">
        <v>50000</v>
      </c>
      <c r="H90" s="74">
        <f t="shared" si="2"/>
        <v>948797</v>
      </c>
      <c r="J90" s="76"/>
    </row>
    <row r="91" spans="1:12" ht="17.100000000000001" customHeight="1" x14ac:dyDescent="0.25">
      <c r="B91" s="69">
        <v>46210</v>
      </c>
      <c r="C91" s="121" t="s">
        <v>33</v>
      </c>
      <c r="D91" s="70" t="s">
        <v>71</v>
      </c>
      <c r="E91" s="71" t="s">
        <v>34</v>
      </c>
      <c r="F91" s="79"/>
      <c r="G91" s="73">
        <v>25000</v>
      </c>
      <c r="H91" s="74">
        <f t="shared" si="2"/>
        <v>923797</v>
      </c>
      <c r="J91" s="76"/>
    </row>
    <row r="92" spans="1:12" ht="17.100000000000001" customHeight="1" x14ac:dyDescent="0.25">
      <c r="B92" s="69">
        <v>46210</v>
      </c>
      <c r="C92" s="125" t="s">
        <v>35</v>
      </c>
      <c r="D92" s="77" t="s">
        <v>72</v>
      </c>
      <c r="E92" s="71" t="s">
        <v>34</v>
      </c>
      <c r="F92" s="79"/>
      <c r="G92" s="73">
        <v>25000</v>
      </c>
      <c r="H92" s="74">
        <f t="shared" si="2"/>
        <v>898797</v>
      </c>
      <c r="J92" s="76"/>
    </row>
    <row r="93" spans="1:12" ht="17.100000000000001" customHeight="1" x14ac:dyDescent="0.25">
      <c r="B93" s="69">
        <v>46210</v>
      </c>
      <c r="C93" s="121" t="s">
        <v>67</v>
      </c>
      <c r="D93" s="78" t="s">
        <v>79</v>
      </c>
      <c r="E93" s="71" t="s">
        <v>34</v>
      </c>
      <c r="F93" s="79"/>
      <c r="G93" s="73">
        <v>50000</v>
      </c>
      <c r="H93" s="74">
        <f t="shared" si="2"/>
        <v>848797</v>
      </c>
      <c r="J93" s="76"/>
    </row>
    <row r="94" spans="1:12" ht="17.100000000000001" customHeight="1" x14ac:dyDescent="0.25">
      <c r="B94" s="69">
        <v>46210</v>
      </c>
      <c r="C94" s="125" t="s">
        <v>23</v>
      </c>
      <c r="D94" s="70" t="s">
        <v>89</v>
      </c>
      <c r="E94" s="71" t="s">
        <v>25</v>
      </c>
      <c r="F94" s="79"/>
      <c r="G94" s="73">
        <v>25000</v>
      </c>
      <c r="H94" s="74">
        <f t="shared" si="2"/>
        <v>823797</v>
      </c>
      <c r="J94" s="76"/>
      <c r="L94" s="75" t="s">
        <v>17</v>
      </c>
    </row>
    <row r="95" spans="1:12" ht="17.100000000000001" customHeight="1" x14ac:dyDescent="0.25">
      <c r="B95" s="69">
        <v>46210</v>
      </c>
      <c r="C95" s="121" t="s">
        <v>28</v>
      </c>
      <c r="D95" s="70" t="s">
        <v>90</v>
      </c>
      <c r="E95" s="71" t="s">
        <v>25</v>
      </c>
      <c r="F95" s="79"/>
      <c r="G95" s="73">
        <v>25000</v>
      </c>
      <c r="H95" s="74">
        <f t="shared" si="2"/>
        <v>798797</v>
      </c>
      <c r="J95" s="76"/>
    </row>
    <row r="96" spans="1:12" ht="17.100000000000001" customHeight="1" x14ac:dyDescent="0.25">
      <c r="B96" s="69">
        <v>46210</v>
      </c>
      <c r="C96" s="125" t="s">
        <v>29</v>
      </c>
      <c r="D96" s="77" t="s">
        <v>91</v>
      </c>
      <c r="E96" s="71" t="s">
        <v>25</v>
      </c>
      <c r="F96" s="79"/>
      <c r="G96" s="73">
        <v>50000</v>
      </c>
      <c r="H96" s="74">
        <f t="shared" si="2"/>
        <v>748797</v>
      </c>
      <c r="J96" s="76"/>
    </row>
    <row r="97" spans="2:10" ht="17.100000000000001" customHeight="1" x14ac:dyDescent="0.25">
      <c r="B97" s="69">
        <v>46211</v>
      </c>
      <c r="C97" s="121" t="s">
        <v>162</v>
      </c>
      <c r="D97" s="70" t="s">
        <v>111</v>
      </c>
      <c r="E97" s="71" t="s">
        <v>108</v>
      </c>
      <c r="F97" s="79"/>
      <c r="G97" s="73">
        <v>75000</v>
      </c>
      <c r="H97" s="74">
        <f t="shared" si="2"/>
        <v>673797</v>
      </c>
      <c r="J97" s="76"/>
    </row>
    <row r="98" spans="2:10" ht="17.100000000000001" customHeight="1" x14ac:dyDescent="0.25">
      <c r="B98" s="69">
        <v>46211</v>
      </c>
      <c r="C98" s="121" t="s">
        <v>157</v>
      </c>
      <c r="D98" s="70" t="s">
        <v>112</v>
      </c>
      <c r="E98" s="71" t="s">
        <v>108</v>
      </c>
      <c r="F98" s="79"/>
      <c r="G98" s="73">
        <v>50000</v>
      </c>
      <c r="H98" s="74">
        <f t="shared" si="2"/>
        <v>623797</v>
      </c>
      <c r="J98" s="76"/>
    </row>
    <row r="99" spans="2:10" ht="17.100000000000001" customHeight="1" x14ac:dyDescent="0.25">
      <c r="B99" s="69">
        <v>46211</v>
      </c>
      <c r="C99" s="125" t="s">
        <v>163</v>
      </c>
      <c r="D99" s="70" t="s">
        <v>107</v>
      </c>
      <c r="E99" s="71" t="s">
        <v>108</v>
      </c>
      <c r="F99" s="79"/>
      <c r="G99" s="73">
        <v>25000</v>
      </c>
      <c r="H99" s="74">
        <f t="shared" si="2"/>
        <v>598797</v>
      </c>
      <c r="J99" s="76"/>
    </row>
    <row r="100" spans="2:10" ht="17.100000000000001" customHeight="1" x14ac:dyDescent="0.25">
      <c r="B100" s="69">
        <v>46211</v>
      </c>
      <c r="C100" s="121" t="s">
        <v>35</v>
      </c>
      <c r="D100" s="70" t="s">
        <v>66</v>
      </c>
      <c r="E100" s="71" t="s">
        <v>108</v>
      </c>
      <c r="F100" s="79"/>
      <c r="G100" s="73">
        <v>25000</v>
      </c>
      <c r="H100" s="74">
        <f t="shared" si="2"/>
        <v>573797</v>
      </c>
      <c r="J100" s="76"/>
    </row>
    <row r="101" spans="2:10" ht="17.100000000000001" customHeight="1" x14ac:dyDescent="0.25">
      <c r="B101" s="69">
        <v>46211</v>
      </c>
      <c r="C101" s="125" t="s">
        <v>67</v>
      </c>
      <c r="D101" s="77" t="s">
        <v>68</v>
      </c>
      <c r="E101" s="71" t="s">
        <v>108</v>
      </c>
      <c r="F101" s="79"/>
      <c r="G101" s="73">
        <v>50000</v>
      </c>
      <c r="H101" s="74">
        <f t="shared" si="2"/>
        <v>523797</v>
      </c>
      <c r="J101" s="76"/>
    </row>
    <row r="102" spans="2:10" ht="17.100000000000001" customHeight="1" x14ac:dyDescent="0.25">
      <c r="B102" s="69">
        <v>46211</v>
      </c>
      <c r="C102" s="121" t="s">
        <v>164</v>
      </c>
      <c r="D102" s="70" t="s">
        <v>114</v>
      </c>
      <c r="E102" s="71" t="s">
        <v>51</v>
      </c>
      <c r="F102" s="79"/>
      <c r="G102" s="73">
        <v>790000</v>
      </c>
      <c r="H102" s="74">
        <f t="shared" si="2"/>
        <v>-266203</v>
      </c>
      <c r="J102" s="76"/>
    </row>
    <row r="103" spans="2:10" ht="17.100000000000001" customHeight="1" x14ac:dyDescent="0.25">
      <c r="B103" s="63">
        <v>46212</v>
      </c>
      <c r="C103" s="120" t="s">
        <v>40</v>
      </c>
      <c r="D103" s="110" t="s">
        <v>32</v>
      </c>
      <c r="E103" s="82" t="s">
        <v>18</v>
      </c>
      <c r="F103" s="83">
        <v>6000000</v>
      </c>
      <c r="G103" s="84"/>
      <c r="H103" s="68">
        <f t="shared" si="2"/>
        <v>5733797</v>
      </c>
      <c r="J103" s="76"/>
    </row>
    <row r="104" spans="2:10" ht="17.100000000000001" customHeight="1" x14ac:dyDescent="0.25">
      <c r="B104" s="69">
        <v>46212</v>
      </c>
      <c r="C104" s="121" t="s">
        <v>50</v>
      </c>
      <c r="D104" s="85" t="s">
        <v>39</v>
      </c>
      <c r="E104" s="71" t="s">
        <v>38</v>
      </c>
      <c r="F104" s="81"/>
      <c r="G104" s="87">
        <v>22500</v>
      </c>
      <c r="H104" s="74">
        <f t="shared" si="2"/>
        <v>5711297</v>
      </c>
      <c r="J104" s="76"/>
    </row>
    <row r="105" spans="2:10" ht="17.100000000000001" customHeight="1" x14ac:dyDescent="0.25">
      <c r="B105" s="69">
        <v>46212</v>
      </c>
      <c r="C105" s="121" t="s">
        <v>117</v>
      </c>
      <c r="D105" s="77" t="s">
        <v>118</v>
      </c>
      <c r="E105" s="71" t="s">
        <v>119</v>
      </c>
      <c r="F105" s="81"/>
      <c r="G105" s="87">
        <v>75000</v>
      </c>
      <c r="H105" s="74">
        <f t="shared" si="2"/>
        <v>5636297</v>
      </c>
      <c r="J105" s="76"/>
    </row>
    <row r="106" spans="2:10" ht="17.100000000000001" customHeight="1" x14ac:dyDescent="0.25">
      <c r="B106" s="69">
        <v>46212</v>
      </c>
      <c r="C106" s="121" t="s">
        <v>30</v>
      </c>
      <c r="D106" s="77" t="s">
        <v>120</v>
      </c>
      <c r="E106" s="71" t="s">
        <v>51</v>
      </c>
      <c r="F106" s="79"/>
      <c r="G106" s="73">
        <v>51000</v>
      </c>
      <c r="H106" s="74">
        <f t="shared" si="2"/>
        <v>5585297</v>
      </c>
      <c r="J106" s="76"/>
    </row>
    <row r="107" spans="2:10" ht="17.100000000000001" customHeight="1" x14ac:dyDescent="0.25">
      <c r="B107" s="69">
        <v>46212</v>
      </c>
      <c r="C107" s="121" t="s">
        <v>157</v>
      </c>
      <c r="D107" s="70" t="s">
        <v>121</v>
      </c>
      <c r="E107" s="71" t="s">
        <v>51</v>
      </c>
      <c r="F107" s="79"/>
      <c r="G107" s="73">
        <v>10000</v>
      </c>
      <c r="H107" s="74">
        <f t="shared" si="2"/>
        <v>5575297</v>
      </c>
      <c r="J107" s="76"/>
    </row>
    <row r="108" spans="2:10" ht="17.100000000000001" customHeight="1" x14ac:dyDescent="0.25">
      <c r="B108" s="69">
        <v>46212</v>
      </c>
      <c r="C108" s="121" t="s">
        <v>157</v>
      </c>
      <c r="D108" s="70" t="s">
        <v>122</v>
      </c>
      <c r="E108" s="71" t="s">
        <v>51</v>
      </c>
      <c r="F108" s="79"/>
      <c r="G108" s="73">
        <v>40000</v>
      </c>
      <c r="H108" s="74">
        <f t="shared" si="2"/>
        <v>5535297</v>
      </c>
      <c r="J108" s="76"/>
    </row>
    <row r="109" spans="2:10" ht="17.100000000000001" customHeight="1" x14ac:dyDescent="0.25">
      <c r="B109" s="69">
        <v>46212</v>
      </c>
      <c r="C109" s="121" t="s">
        <v>174</v>
      </c>
      <c r="D109" s="70" t="s">
        <v>123</v>
      </c>
      <c r="E109" s="71" t="s">
        <v>103</v>
      </c>
      <c r="F109" s="79"/>
      <c r="G109" s="73">
        <v>138000</v>
      </c>
      <c r="H109" s="74">
        <f t="shared" si="2"/>
        <v>5397297</v>
      </c>
      <c r="J109" s="76"/>
    </row>
    <row r="110" spans="2:10" ht="17.100000000000001" customHeight="1" x14ac:dyDescent="0.25">
      <c r="B110" s="69">
        <v>46212</v>
      </c>
      <c r="C110" s="121" t="s">
        <v>175</v>
      </c>
      <c r="D110" s="77" t="s">
        <v>124</v>
      </c>
      <c r="E110" s="71" t="s">
        <v>51</v>
      </c>
      <c r="F110" s="79"/>
      <c r="G110" s="73">
        <v>41000</v>
      </c>
      <c r="H110" s="74">
        <f t="shared" si="2"/>
        <v>5356297</v>
      </c>
      <c r="J110" s="76"/>
    </row>
    <row r="111" spans="2:10" ht="17.100000000000001" customHeight="1" x14ac:dyDescent="0.25">
      <c r="B111" s="69">
        <v>46212</v>
      </c>
      <c r="C111" s="121" t="s">
        <v>175</v>
      </c>
      <c r="D111" s="77" t="s">
        <v>125</v>
      </c>
      <c r="E111" s="71" t="s">
        <v>103</v>
      </c>
      <c r="F111" s="79"/>
      <c r="G111" s="73">
        <v>65000</v>
      </c>
      <c r="H111" s="74">
        <f t="shared" si="2"/>
        <v>5291297</v>
      </c>
      <c r="J111" s="76"/>
    </row>
    <row r="112" spans="2:10" ht="17.100000000000001" customHeight="1" x14ac:dyDescent="0.25">
      <c r="B112" s="69">
        <v>46212</v>
      </c>
      <c r="C112" s="121" t="s">
        <v>174</v>
      </c>
      <c r="D112" s="70" t="s">
        <v>126</v>
      </c>
      <c r="E112" s="71" t="s">
        <v>51</v>
      </c>
      <c r="F112" s="79"/>
      <c r="G112" s="73">
        <v>150000</v>
      </c>
      <c r="H112" s="74">
        <f t="shared" si="2"/>
        <v>5141297</v>
      </c>
      <c r="J112" s="76"/>
    </row>
    <row r="113" spans="2:10" ht="17.100000000000001" customHeight="1" x14ac:dyDescent="0.25">
      <c r="B113" s="69">
        <v>46212</v>
      </c>
      <c r="C113" s="130" t="s">
        <v>181</v>
      </c>
      <c r="D113" s="77" t="s">
        <v>172</v>
      </c>
      <c r="E113" s="71" t="s">
        <v>127</v>
      </c>
      <c r="F113" s="79"/>
      <c r="G113" s="73">
        <v>424000</v>
      </c>
      <c r="H113" s="74">
        <f t="shared" si="2"/>
        <v>4717297</v>
      </c>
      <c r="J113" s="76"/>
    </row>
    <row r="114" spans="2:10" ht="17.100000000000001" customHeight="1" x14ac:dyDescent="0.25">
      <c r="B114" s="69">
        <v>46212</v>
      </c>
      <c r="C114" s="121" t="s">
        <v>157</v>
      </c>
      <c r="D114" s="78" t="s">
        <v>128</v>
      </c>
      <c r="E114" s="71" t="s">
        <v>74</v>
      </c>
      <c r="F114" s="79"/>
      <c r="G114" s="73">
        <v>195000</v>
      </c>
      <c r="H114" s="74">
        <f t="shared" si="2"/>
        <v>4522297</v>
      </c>
      <c r="J114" s="76"/>
    </row>
    <row r="115" spans="2:10" ht="17.100000000000001" customHeight="1" x14ac:dyDescent="0.25">
      <c r="B115" s="69">
        <v>46212</v>
      </c>
      <c r="C115" s="121" t="s">
        <v>164</v>
      </c>
      <c r="D115" s="77" t="s">
        <v>129</v>
      </c>
      <c r="E115" s="71" t="s">
        <v>58</v>
      </c>
      <c r="F115" s="81"/>
      <c r="G115" s="73">
        <v>80000</v>
      </c>
      <c r="H115" s="74">
        <f t="shared" si="2"/>
        <v>4442297</v>
      </c>
      <c r="J115" s="76"/>
    </row>
    <row r="116" spans="2:10" ht="17.100000000000001" customHeight="1" x14ac:dyDescent="0.25">
      <c r="B116" s="69">
        <v>46212</v>
      </c>
      <c r="C116" s="121" t="s">
        <v>30</v>
      </c>
      <c r="D116" s="77" t="s">
        <v>169</v>
      </c>
      <c r="E116" s="71" t="s">
        <v>51</v>
      </c>
      <c r="F116" s="81"/>
      <c r="G116" s="73">
        <v>38500</v>
      </c>
      <c r="H116" s="74">
        <f t="shared" si="2"/>
        <v>4403797</v>
      </c>
      <c r="J116" s="76"/>
    </row>
    <row r="117" spans="2:10" ht="17.100000000000001" customHeight="1" x14ac:dyDescent="0.25">
      <c r="B117" s="69">
        <v>46212</v>
      </c>
      <c r="C117" s="121" t="s">
        <v>33</v>
      </c>
      <c r="D117" s="70" t="s">
        <v>71</v>
      </c>
      <c r="E117" s="71" t="s">
        <v>34</v>
      </c>
      <c r="F117" s="79"/>
      <c r="G117" s="73">
        <v>25000</v>
      </c>
      <c r="H117" s="74">
        <f t="shared" si="2"/>
        <v>4378797</v>
      </c>
      <c r="J117" s="76"/>
    </row>
    <row r="118" spans="2:10" ht="17.100000000000001" customHeight="1" x14ac:dyDescent="0.25">
      <c r="B118" s="69">
        <v>46212</v>
      </c>
      <c r="C118" s="125" t="s">
        <v>35</v>
      </c>
      <c r="D118" s="77" t="s">
        <v>72</v>
      </c>
      <c r="E118" s="71" t="s">
        <v>34</v>
      </c>
      <c r="F118" s="79"/>
      <c r="G118" s="73">
        <v>25000</v>
      </c>
      <c r="H118" s="74">
        <f t="shared" si="2"/>
        <v>4353797</v>
      </c>
      <c r="J118" s="76"/>
    </row>
    <row r="119" spans="2:10" ht="17.100000000000001" customHeight="1" x14ac:dyDescent="0.25">
      <c r="B119" s="69">
        <v>46212</v>
      </c>
      <c r="C119" s="121" t="s">
        <v>67</v>
      </c>
      <c r="D119" s="78" t="s">
        <v>79</v>
      </c>
      <c r="E119" s="71" t="s">
        <v>34</v>
      </c>
      <c r="F119" s="79"/>
      <c r="G119" s="73">
        <v>50000</v>
      </c>
      <c r="H119" s="74">
        <f t="shared" si="2"/>
        <v>4303797</v>
      </c>
      <c r="J119" s="76"/>
    </row>
    <row r="120" spans="2:10" ht="17.100000000000001" customHeight="1" x14ac:dyDescent="0.25">
      <c r="B120" s="69">
        <v>46212</v>
      </c>
      <c r="C120" s="125" t="s">
        <v>23</v>
      </c>
      <c r="D120" s="70" t="s">
        <v>24</v>
      </c>
      <c r="E120" s="71" t="s">
        <v>25</v>
      </c>
      <c r="F120" s="79"/>
      <c r="G120" s="73">
        <v>25000</v>
      </c>
      <c r="H120" s="74">
        <f t="shared" si="2"/>
        <v>4278797</v>
      </c>
      <c r="J120" s="76"/>
    </row>
    <row r="121" spans="2:10" ht="17.100000000000001" customHeight="1" x14ac:dyDescent="0.25">
      <c r="B121" s="69">
        <v>46212</v>
      </c>
      <c r="C121" s="121" t="s">
        <v>28</v>
      </c>
      <c r="D121" s="70" t="s">
        <v>137</v>
      </c>
      <c r="E121" s="71" t="s">
        <v>25</v>
      </c>
      <c r="F121" s="79"/>
      <c r="G121" s="73">
        <v>25000</v>
      </c>
      <c r="H121" s="74">
        <f t="shared" si="2"/>
        <v>4253797</v>
      </c>
      <c r="J121" s="76"/>
    </row>
    <row r="122" spans="2:10" ht="17.100000000000001" customHeight="1" x14ac:dyDescent="0.25">
      <c r="B122" s="69">
        <v>46212</v>
      </c>
      <c r="C122" s="125" t="s">
        <v>29</v>
      </c>
      <c r="D122" s="77" t="s">
        <v>27</v>
      </c>
      <c r="E122" s="71" t="s">
        <v>25</v>
      </c>
      <c r="F122" s="79"/>
      <c r="G122" s="73">
        <v>50000</v>
      </c>
      <c r="H122" s="74">
        <f t="shared" si="2"/>
        <v>4203797</v>
      </c>
      <c r="J122" s="76"/>
    </row>
    <row r="123" spans="2:10" ht="17.100000000000001" customHeight="1" x14ac:dyDescent="0.25">
      <c r="B123" s="69">
        <v>46212</v>
      </c>
      <c r="C123" s="125" t="s">
        <v>163</v>
      </c>
      <c r="D123" s="70" t="s">
        <v>69</v>
      </c>
      <c r="E123" s="71" t="s">
        <v>70</v>
      </c>
      <c r="F123" s="79"/>
      <c r="G123" s="73">
        <v>25000</v>
      </c>
      <c r="H123" s="74">
        <f t="shared" si="2"/>
        <v>4178797</v>
      </c>
      <c r="J123" s="76"/>
    </row>
    <row r="124" spans="2:10" ht="17.100000000000001" customHeight="1" x14ac:dyDescent="0.25">
      <c r="B124" s="69">
        <v>46212</v>
      </c>
      <c r="C124" s="121" t="s">
        <v>35</v>
      </c>
      <c r="D124" s="70" t="s">
        <v>66</v>
      </c>
      <c r="E124" s="71" t="s">
        <v>70</v>
      </c>
      <c r="F124" s="79"/>
      <c r="G124" s="73">
        <v>25000</v>
      </c>
      <c r="H124" s="74">
        <f t="shared" si="2"/>
        <v>4153797</v>
      </c>
      <c r="J124" s="76"/>
    </row>
    <row r="125" spans="2:10" ht="17.100000000000001" customHeight="1" x14ac:dyDescent="0.25">
      <c r="B125" s="69">
        <v>46212</v>
      </c>
      <c r="C125" s="121" t="s">
        <v>176</v>
      </c>
      <c r="D125" s="77" t="s">
        <v>130</v>
      </c>
      <c r="E125" s="71" t="s">
        <v>22</v>
      </c>
      <c r="F125" s="79"/>
      <c r="G125" s="73">
        <v>200000</v>
      </c>
      <c r="H125" s="74">
        <f t="shared" si="2"/>
        <v>3953797</v>
      </c>
      <c r="J125" s="76"/>
    </row>
    <row r="126" spans="2:10" ht="17.100000000000001" customHeight="1" x14ac:dyDescent="0.25">
      <c r="B126" s="69">
        <v>46213</v>
      </c>
      <c r="C126" s="121" t="s">
        <v>161</v>
      </c>
      <c r="D126" s="77" t="s">
        <v>154</v>
      </c>
      <c r="E126" s="71" t="s">
        <v>22</v>
      </c>
      <c r="F126" s="79"/>
      <c r="G126" s="73">
        <v>203050</v>
      </c>
      <c r="H126" s="74">
        <f t="shared" si="2"/>
        <v>3750747</v>
      </c>
      <c r="J126" s="76"/>
    </row>
    <row r="127" spans="2:10" ht="17.100000000000001" customHeight="1" x14ac:dyDescent="0.25">
      <c r="B127" s="69">
        <v>46213</v>
      </c>
      <c r="C127" s="125" t="s">
        <v>160</v>
      </c>
      <c r="D127" s="70" t="s">
        <v>132</v>
      </c>
      <c r="E127" s="71" t="s">
        <v>70</v>
      </c>
      <c r="F127" s="79"/>
      <c r="G127" s="73">
        <v>25000</v>
      </c>
      <c r="H127" s="74">
        <f t="shared" si="2"/>
        <v>3725747</v>
      </c>
      <c r="J127" s="76"/>
    </row>
    <row r="128" spans="2:10" ht="17.100000000000001" customHeight="1" x14ac:dyDescent="0.25">
      <c r="B128" s="69">
        <v>46213</v>
      </c>
      <c r="C128" s="121" t="s">
        <v>35</v>
      </c>
      <c r="D128" s="70" t="s">
        <v>131</v>
      </c>
      <c r="E128" s="71" t="s">
        <v>70</v>
      </c>
      <c r="F128" s="79"/>
      <c r="G128" s="73">
        <v>50000</v>
      </c>
      <c r="H128" s="74">
        <f t="shared" si="2"/>
        <v>3675747</v>
      </c>
      <c r="J128" s="76"/>
    </row>
    <row r="129" spans="1:10" ht="17.100000000000001" customHeight="1" x14ac:dyDescent="0.25">
      <c r="B129" s="69">
        <v>46213</v>
      </c>
      <c r="C129" s="121" t="s">
        <v>160</v>
      </c>
      <c r="D129" s="70" t="s">
        <v>109</v>
      </c>
      <c r="E129" s="71" t="s">
        <v>70</v>
      </c>
      <c r="F129" s="79"/>
      <c r="G129" s="73">
        <v>125000</v>
      </c>
      <c r="H129" s="74">
        <f t="shared" si="2"/>
        <v>3550747</v>
      </c>
      <c r="J129" s="76"/>
    </row>
    <row r="130" spans="1:10" ht="17.100000000000001" customHeight="1" x14ac:dyDescent="0.25">
      <c r="B130" s="69">
        <v>46213</v>
      </c>
      <c r="C130" s="121" t="s">
        <v>117</v>
      </c>
      <c r="D130" s="70" t="s">
        <v>77</v>
      </c>
      <c r="E130" s="71" t="s">
        <v>70</v>
      </c>
      <c r="F130" s="79"/>
      <c r="G130" s="73">
        <v>50000</v>
      </c>
      <c r="H130" s="74">
        <f t="shared" si="2"/>
        <v>3500747</v>
      </c>
      <c r="J130" s="76"/>
    </row>
    <row r="131" spans="1:10" ht="17.100000000000001" customHeight="1" x14ac:dyDescent="0.25">
      <c r="B131" s="69">
        <v>46213</v>
      </c>
      <c r="C131" s="125" t="s">
        <v>163</v>
      </c>
      <c r="D131" s="70" t="s">
        <v>113</v>
      </c>
      <c r="E131" s="71" t="s">
        <v>108</v>
      </c>
      <c r="F131" s="79"/>
      <c r="G131" s="73">
        <v>25000</v>
      </c>
      <c r="H131" s="74">
        <f t="shared" si="2"/>
        <v>3475747</v>
      </c>
      <c r="J131" s="76"/>
    </row>
    <row r="132" spans="1:10" ht="17.100000000000001" customHeight="1" x14ac:dyDescent="0.25">
      <c r="B132" s="69">
        <v>46213</v>
      </c>
      <c r="C132" s="125" t="s">
        <v>163</v>
      </c>
      <c r="D132" s="70" t="s">
        <v>107</v>
      </c>
      <c r="E132" s="71" t="s">
        <v>108</v>
      </c>
      <c r="F132" s="79"/>
      <c r="G132" s="73">
        <v>25000</v>
      </c>
      <c r="H132" s="74">
        <f t="shared" si="2"/>
        <v>3450747</v>
      </c>
      <c r="J132" s="76"/>
    </row>
    <row r="133" spans="1:10" ht="17.100000000000001" customHeight="1" x14ac:dyDescent="0.25">
      <c r="B133" s="69">
        <v>46213</v>
      </c>
      <c r="C133" s="121" t="s">
        <v>35</v>
      </c>
      <c r="D133" s="70" t="s">
        <v>66</v>
      </c>
      <c r="E133" s="71" t="s">
        <v>108</v>
      </c>
      <c r="F133" s="79"/>
      <c r="G133" s="73">
        <v>50000</v>
      </c>
      <c r="H133" s="74">
        <f t="shared" si="2"/>
        <v>3400747</v>
      </c>
      <c r="J133" s="76"/>
    </row>
    <row r="134" spans="1:10" ht="17.100000000000001" customHeight="1" x14ac:dyDescent="0.25">
      <c r="B134" s="69">
        <v>46213</v>
      </c>
      <c r="C134" s="125" t="s">
        <v>23</v>
      </c>
      <c r="D134" s="70" t="s">
        <v>97</v>
      </c>
      <c r="E134" s="71" t="s">
        <v>25</v>
      </c>
      <c r="F134" s="79"/>
      <c r="G134" s="73">
        <v>25000</v>
      </c>
      <c r="H134" s="74">
        <f t="shared" ref="H134:H201" si="3">H133+F134-G134</f>
        <v>3375747</v>
      </c>
      <c r="J134" s="76"/>
    </row>
    <row r="135" spans="1:10" ht="17.100000000000001" customHeight="1" x14ac:dyDescent="0.25">
      <c r="B135" s="69">
        <v>46213</v>
      </c>
      <c r="C135" s="121" t="s">
        <v>28</v>
      </c>
      <c r="D135" s="70" t="s">
        <v>137</v>
      </c>
      <c r="E135" s="71" t="s">
        <v>25</v>
      </c>
      <c r="F135" s="79"/>
      <c r="G135" s="73">
        <v>25000</v>
      </c>
      <c r="H135" s="74">
        <f t="shared" si="3"/>
        <v>3350747</v>
      </c>
      <c r="J135" s="76"/>
    </row>
    <row r="136" spans="1:10" ht="17.100000000000001" customHeight="1" x14ac:dyDescent="0.25">
      <c r="B136" s="69">
        <v>46213</v>
      </c>
      <c r="C136" s="125" t="s">
        <v>29</v>
      </c>
      <c r="D136" s="77" t="s">
        <v>27</v>
      </c>
      <c r="E136" s="71" t="s">
        <v>25</v>
      </c>
      <c r="F136" s="79"/>
      <c r="G136" s="73">
        <v>50000</v>
      </c>
      <c r="H136" s="74">
        <f t="shared" si="3"/>
        <v>3300747</v>
      </c>
      <c r="J136" s="76"/>
    </row>
    <row r="137" spans="1:10" ht="17.100000000000001" customHeight="1" x14ac:dyDescent="0.25">
      <c r="B137" s="69">
        <v>46213</v>
      </c>
      <c r="C137" s="121" t="s">
        <v>33</v>
      </c>
      <c r="D137" s="70" t="s">
        <v>71</v>
      </c>
      <c r="E137" s="71" t="s">
        <v>34</v>
      </c>
      <c r="F137" s="79"/>
      <c r="G137" s="73">
        <v>25000</v>
      </c>
      <c r="H137" s="74">
        <f t="shared" si="3"/>
        <v>3275747</v>
      </c>
      <c r="J137" s="76"/>
    </row>
    <row r="138" spans="1:10" ht="17.100000000000001" customHeight="1" x14ac:dyDescent="0.25">
      <c r="B138" s="69">
        <v>46213</v>
      </c>
      <c r="C138" s="125" t="s">
        <v>35</v>
      </c>
      <c r="D138" s="77" t="s">
        <v>72</v>
      </c>
      <c r="E138" s="71" t="s">
        <v>34</v>
      </c>
      <c r="F138" s="79"/>
      <c r="G138" s="73">
        <v>25000</v>
      </c>
      <c r="H138" s="74">
        <f t="shared" si="3"/>
        <v>3250747</v>
      </c>
      <c r="J138" s="76"/>
    </row>
    <row r="139" spans="1:10" ht="17.100000000000001" customHeight="1" x14ac:dyDescent="0.25">
      <c r="B139" s="69">
        <v>46213</v>
      </c>
      <c r="C139" s="121" t="s">
        <v>117</v>
      </c>
      <c r="D139" s="77" t="s">
        <v>118</v>
      </c>
      <c r="E139" s="71" t="s">
        <v>119</v>
      </c>
      <c r="F139" s="81"/>
      <c r="G139" s="87">
        <v>75000</v>
      </c>
      <c r="H139" s="74">
        <f t="shared" si="3"/>
        <v>3175747</v>
      </c>
      <c r="J139" s="76"/>
    </row>
    <row r="140" spans="1:10" ht="17.100000000000001" customHeight="1" x14ac:dyDescent="0.25">
      <c r="B140" s="69">
        <v>46213</v>
      </c>
      <c r="C140" s="121" t="s">
        <v>174</v>
      </c>
      <c r="D140" s="77" t="s">
        <v>173</v>
      </c>
      <c r="E140" s="71" t="s">
        <v>51</v>
      </c>
      <c r="F140" s="79"/>
      <c r="G140" s="73">
        <v>40000</v>
      </c>
      <c r="H140" s="74">
        <f t="shared" si="3"/>
        <v>3135747</v>
      </c>
      <c r="J140" s="76"/>
    </row>
    <row r="141" spans="1:10" ht="17.100000000000001" customHeight="1" x14ac:dyDescent="0.25">
      <c r="B141" s="69">
        <v>46213</v>
      </c>
      <c r="C141" s="121" t="s">
        <v>159</v>
      </c>
      <c r="D141" s="78" t="s">
        <v>133</v>
      </c>
      <c r="E141" s="71" t="s">
        <v>51</v>
      </c>
      <c r="F141" s="79"/>
      <c r="G141" s="73">
        <v>50000</v>
      </c>
      <c r="H141" s="74">
        <f t="shared" si="3"/>
        <v>3085747</v>
      </c>
      <c r="J141" s="76"/>
    </row>
    <row r="142" spans="1:10" ht="17.100000000000001" customHeight="1" x14ac:dyDescent="0.25">
      <c r="B142" s="69">
        <v>46213</v>
      </c>
      <c r="C142" s="121" t="s">
        <v>157</v>
      </c>
      <c r="D142" s="70" t="s">
        <v>134</v>
      </c>
      <c r="E142" s="71" t="s">
        <v>103</v>
      </c>
      <c r="F142" s="79"/>
      <c r="G142" s="73">
        <v>900000</v>
      </c>
      <c r="H142" s="74">
        <f t="shared" si="3"/>
        <v>2185747</v>
      </c>
      <c r="J142" s="76"/>
    </row>
    <row r="143" spans="1:10" ht="17.100000000000001" customHeight="1" x14ac:dyDescent="0.25">
      <c r="B143" s="69">
        <v>46214</v>
      </c>
      <c r="C143" s="121" t="s">
        <v>158</v>
      </c>
      <c r="D143" s="77" t="s">
        <v>135</v>
      </c>
      <c r="E143" s="71" t="s">
        <v>136</v>
      </c>
      <c r="F143" s="79"/>
      <c r="G143" s="73">
        <v>500000</v>
      </c>
      <c r="H143" s="74">
        <f t="shared" si="3"/>
        <v>1685747</v>
      </c>
      <c r="J143" s="76"/>
    </row>
    <row r="144" spans="1:10" ht="17.100000000000001" customHeight="1" x14ac:dyDescent="0.25">
      <c r="A144" s="75" t="s">
        <v>17</v>
      </c>
      <c r="B144" s="69">
        <v>46214</v>
      </c>
      <c r="C144" s="125" t="s">
        <v>23</v>
      </c>
      <c r="D144" s="70" t="s">
        <v>24</v>
      </c>
      <c r="E144" s="71" t="s">
        <v>25</v>
      </c>
      <c r="F144" s="79"/>
      <c r="G144" s="73">
        <v>25000</v>
      </c>
      <c r="H144" s="74">
        <f t="shared" si="3"/>
        <v>1660747</v>
      </c>
      <c r="J144" s="76"/>
    </row>
    <row r="145" spans="2:10" ht="17.100000000000001" customHeight="1" x14ac:dyDescent="0.25">
      <c r="B145" s="69">
        <v>46214</v>
      </c>
      <c r="C145" s="121" t="s">
        <v>28</v>
      </c>
      <c r="D145" s="70" t="s">
        <v>137</v>
      </c>
      <c r="E145" s="71" t="s">
        <v>25</v>
      </c>
      <c r="F145" s="79"/>
      <c r="G145" s="73">
        <v>25000</v>
      </c>
      <c r="H145" s="74">
        <f t="shared" si="3"/>
        <v>1635747</v>
      </c>
      <c r="J145" s="76"/>
    </row>
    <row r="146" spans="2:10" ht="17.100000000000001" customHeight="1" x14ac:dyDescent="0.25">
      <c r="B146" s="69">
        <v>46214</v>
      </c>
      <c r="C146" s="125" t="s">
        <v>29</v>
      </c>
      <c r="D146" s="77" t="s">
        <v>98</v>
      </c>
      <c r="E146" s="71" t="s">
        <v>25</v>
      </c>
      <c r="F146" s="79"/>
      <c r="G146" s="73">
        <v>50000</v>
      </c>
      <c r="H146" s="74">
        <f t="shared" si="3"/>
        <v>1585747</v>
      </c>
      <c r="J146" s="76"/>
    </row>
    <row r="147" spans="2:10" ht="17.100000000000001" customHeight="1" x14ac:dyDescent="0.25">
      <c r="B147" s="69">
        <v>46215</v>
      </c>
      <c r="C147" s="125" t="s">
        <v>163</v>
      </c>
      <c r="D147" s="70" t="s">
        <v>107</v>
      </c>
      <c r="E147" s="71" t="s">
        <v>108</v>
      </c>
      <c r="F147" s="79"/>
      <c r="G147" s="73">
        <v>25000</v>
      </c>
      <c r="H147" s="74">
        <f t="shared" si="3"/>
        <v>1560747</v>
      </c>
      <c r="J147" s="76"/>
    </row>
    <row r="148" spans="2:10" ht="17.100000000000001" customHeight="1" x14ac:dyDescent="0.25">
      <c r="B148" s="69">
        <v>46215</v>
      </c>
      <c r="C148" s="121" t="s">
        <v>35</v>
      </c>
      <c r="D148" s="70" t="s">
        <v>66</v>
      </c>
      <c r="E148" s="71" t="s">
        <v>108</v>
      </c>
      <c r="F148" s="79"/>
      <c r="G148" s="73">
        <v>25000</v>
      </c>
      <c r="H148" s="74">
        <f t="shared" si="3"/>
        <v>1535747</v>
      </c>
      <c r="J148" s="76"/>
    </row>
    <row r="149" spans="2:10" ht="17.100000000000001" customHeight="1" x14ac:dyDescent="0.25">
      <c r="B149" s="69">
        <v>46216</v>
      </c>
      <c r="C149" s="121" t="s">
        <v>171</v>
      </c>
      <c r="D149" s="114" t="s">
        <v>170</v>
      </c>
      <c r="E149" s="71" t="s">
        <v>22</v>
      </c>
      <c r="F149" s="79"/>
      <c r="G149" s="73">
        <v>191500</v>
      </c>
      <c r="H149" s="74">
        <f t="shared" si="3"/>
        <v>1344247</v>
      </c>
      <c r="J149" s="76"/>
    </row>
    <row r="150" spans="2:10" ht="17.100000000000001" customHeight="1" x14ac:dyDescent="0.25">
      <c r="B150" s="69">
        <v>46216</v>
      </c>
      <c r="C150" s="125" t="s">
        <v>23</v>
      </c>
      <c r="D150" s="70" t="s">
        <v>24</v>
      </c>
      <c r="E150" s="71" t="s">
        <v>25</v>
      </c>
      <c r="F150" s="79"/>
      <c r="G150" s="73">
        <v>25000</v>
      </c>
      <c r="H150" s="74">
        <f t="shared" si="3"/>
        <v>1319247</v>
      </c>
      <c r="J150" s="76"/>
    </row>
    <row r="151" spans="2:10" ht="17.100000000000001" customHeight="1" x14ac:dyDescent="0.25">
      <c r="B151" s="69">
        <v>46216</v>
      </c>
      <c r="C151" s="121" t="s">
        <v>28</v>
      </c>
      <c r="D151" s="70" t="s">
        <v>137</v>
      </c>
      <c r="E151" s="71" t="s">
        <v>25</v>
      </c>
      <c r="F151" s="79"/>
      <c r="G151" s="73">
        <v>25000</v>
      </c>
      <c r="H151" s="74">
        <f t="shared" si="3"/>
        <v>1294247</v>
      </c>
      <c r="J151" s="76"/>
    </row>
    <row r="152" spans="2:10" ht="17.100000000000001" customHeight="1" x14ac:dyDescent="0.25">
      <c r="B152" s="69">
        <v>46217</v>
      </c>
      <c r="C152" s="121" t="s">
        <v>33</v>
      </c>
      <c r="D152" s="70" t="s">
        <v>71</v>
      </c>
      <c r="E152" s="71" t="s">
        <v>34</v>
      </c>
      <c r="F152" s="79"/>
      <c r="G152" s="73">
        <v>25000</v>
      </c>
      <c r="H152" s="74">
        <f t="shared" si="3"/>
        <v>1269247</v>
      </c>
      <c r="J152" s="76"/>
    </row>
    <row r="153" spans="2:10" ht="17.100000000000001" customHeight="1" x14ac:dyDescent="0.25">
      <c r="B153" s="69">
        <v>46217</v>
      </c>
      <c r="C153" s="125" t="s">
        <v>35</v>
      </c>
      <c r="D153" s="77" t="s">
        <v>72</v>
      </c>
      <c r="E153" s="71" t="s">
        <v>34</v>
      </c>
      <c r="F153" s="79"/>
      <c r="G153" s="73">
        <v>25000</v>
      </c>
      <c r="H153" s="74">
        <f t="shared" si="3"/>
        <v>1244247</v>
      </c>
      <c r="J153" s="76"/>
    </row>
    <row r="154" spans="2:10" ht="17.100000000000001" customHeight="1" x14ac:dyDescent="0.25">
      <c r="B154" s="69">
        <v>46217</v>
      </c>
      <c r="C154" s="121" t="s">
        <v>67</v>
      </c>
      <c r="D154" s="78" t="s">
        <v>79</v>
      </c>
      <c r="E154" s="71" t="s">
        <v>34</v>
      </c>
      <c r="F154" s="79"/>
      <c r="G154" s="73">
        <v>50000</v>
      </c>
      <c r="H154" s="74">
        <f t="shared" si="3"/>
        <v>1194247</v>
      </c>
      <c r="J154" s="76"/>
    </row>
    <row r="155" spans="2:10" ht="17.100000000000001" customHeight="1" x14ac:dyDescent="0.25">
      <c r="B155" s="69">
        <v>46217</v>
      </c>
      <c r="C155" s="125" t="s">
        <v>23</v>
      </c>
      <c r="D155" s="70" t="s">
        <v>24</v>
      </c>
      <c r="E155" s="71" t="s">
        <v>25</v>
      </c>
      <c r="F155" s="79"/>
      <c r="G155" s="73">
        <v>25000</v>
      </c>
      <c r="H155" s="74">
        <f t="shared" si="3"/>
        <v>1169247</v>
      </c>
      <c r="J155" s="76"/>
    </row>
    <row r="156" spans="2:10" ht="17.100000000000001" customHeight="1" x14ac:dyDescent="0.25">
      <c r="B156" s="69">
        <v>46217</v>
      </c>
      <c r="C156" s="121" t="s">
        <v>28</v>
      </c>
      <c r="D156" s="70" t="s">
        <v>137</v>
      </c>
      <c r="E156" s="71" t="s">
        <v>25</v>
      </c>
      <c r="F156" s="79"/>
      <c r="G156" s="73">
        <v>25000</v>
      </c>
      <c r="H156" s="74">
        <f t="shared" si="3"/>
        <v>1144247</v>
      </c>
      <c r="J156" s="76"/>
    </row>
    <row r="157" spans="2:10" ht="17.100000000000001" customHeight="1" x14ac:dyDescent="0.25">
      <c r="B157" s="69">
        <v>46217</v>
      </c>
      <c r="C157" s="125" t="s">
        <v>29</v>
      </c>
      <c r="D157" s="77" t="s">
        <v>98</v>
      </c>
      <c r="E157" s="71" t="s">
        <v>25</v>
      </c>
      <c r="F157" s="79"/>
      <c r="G157" s="73">
        <v>50000</v>
      </c>
      <c r="H157" s="74">
        <f t="shared" si="3"/>
        <v>1094247</v>
      </c>
      <c r="J157" s="76"/>
    </row>
    <row r="158" spans="2:10" ht="17.100000000000001" customHeight="1" x14ac:dyDescent="0.25">
      <c r="B158" s="69">
        <v>46217</v>
      </c>
      <c r="C158" s="125" t="s">
        <v>163</v>
      </c>
      <c r="D158" s="70" t="s">
        <v>107</v>
      </c>
      <c r="E158" s="71" t="s">
        <v>108</v>
      </c>
      <c r="F158" s="79"/>
      <c r="G158" s="73">
        <v>25000</v>
      </c>
      <c r="H158" s="74">
        <f t="shared" si="3"/>
        <v>1069247</v>
      </c>
      <c r="J158" s="76"/>
    </row>
    <row r="159" spans="2:10" ht="17.100000000000001" customHeight="1" x14ac:dyDescent="0.25">
      <c r="B159" s="69">
        <v>46217</v>
      </c>
      <c r="C159" s="121" t="s">
        <v>35</v>
      </c>
      <c r="D159" s="70" t="s">
        <v>66</v>
      </c>
      <c r="E159" s="71" t="s">
        <v>108</v>
      </c>
      <c r="F159" s="79"/>
      <c r="G159" s="73">
        <v>25000</v>
      </c>
      <c r="H159" s="74">
        <f t="shared" si="3"/>
        <v>1044247</v>
      </c>
      <c r="J159" s="76"/>
    </row>
    <row r="160" spans="2:10" ht="17.100000000000001" customHeight="1" x14ac:dyDescent="0.25">
      <c r="B160" s="69">
        <v>46217</v>
      </c>
      <c r="C160" s="121" t="s">
        <v>156</v>
      </c>
      <c r="D160" s="78" t="s">
        <v>148</v>
      </c>
      <c r="E160" s="71" t="s">
        <v>147</v>
      </c>
      <c r="F160" s="79"/>
      <c r="G160" s="73">
        <v>60000</v>
      </c>
      <c r="H160" s="74">
        <f t="shared" si="3"/>
        <v>984247</v>
      </c>
      <c r="J160" s="76"/>
    </row>
    <row r="161" spans="2:10" ht="17.100000000000001" customHeight="1" x14ac:dyDescent="0.25">
      <c r="B161" s="69">
        <v>46218</v>
      </c>
      <c r="C161" s="125" t="s">
        <v>23</v>
      </c>
      <c r="D161" s="70" t="s">
        <v>24</v>
      </c>
      <c r="E161" s="71" t="s">
        <v>25</v>
      </c>
      <c r="F161" s="79"/>
      <c r="G161" s="73">
        <v>25000</v>
      </c>
      <c r="H161" s="74">
        <f t="shared" si="3"/>
        <v>959247</v>
      </c>
      <c r="J161" s="76"/>
    </row>
    <row r="162" spans="2:10" ht="17.100000000000001" customHeight="1" x14ac:dyDescent="0.25">
      <c r="B162" s="69">
        <v>46218</v>
      </c>
      <c r="C162" s="121" t="s">
        <v>28</v>
      </c>
      <c r="D162" s="70" t="s">
        <v>137</v>
      </c>
      <c r="E162" s="71" t="s">
        <v>25</v>
      </c>
      <c r="F162" s="79"/>
      <c r="G162" s="73">
        <v>25000</v>
      </c>
      <c r="H162" s="74">
        <f t="shared" si="3"/>
        <v>934247</v>
      </c>
      <c r="J162" s="76"/>
    </row>
    <row r="163" spans="2:10" ht="17.100000000000001" customHeight="1" x14ac:dyDescent="0.25">
      <c r="B163" s="69">
        <v>46218</v>
      </c>
      <c r="C163" s="125" t="s">
        <v>29</v>
      </c>
      <c r="D163" s="77" t="s">
        <v>98</v>
      </c>
      <c r="E163" s="71" t="s">
        <v>25</v>
      </c>
      <c r="F163" s="79"/>
      <c r="G163" s="73">
        <v>50000</v>
      </c>
      <c r="H163" s="74">
        <f t="shared" si="3"/>
        <v>884247</v>
      </c>
      <c r="J163" s="76"/>
    </row>
    <row r="164" spans="2:10" ht="17.100000000000001" customHeight="1" x14ac:dyDescent="0.25">
      <c r="B164" s="69">
        <v>46218</v>
      </c>
      <c r="C164" s="125" t="s">
        <v>29</v>
      </c>
      <c r="D164" s="77" t="s">
        <v>84</v>
      </c>
      <c r="E164" s="71" t="s">
        <v>80</v>
      </c>
      <c r="F164" s="79"/>
      <c r="G164" s="73">
        <v>50000</v>
      </c>
      <c r="H164" s="74">
        <f t="shared" si="3"/>
        <v>834247</v>
      </c>
      <c r="J164" s="76"/>
    </row>
    <row r="165" spans="2:10" ht="17.100000000000001" customHeight="1" x14ac:dyDescent="0.25">
      <c r="B165" s="69">
        <v>46218</v>
      </c>
      <c r="C165" s="121" t="s">
        <v>33</v>
      </c>
      <c r="D165" s="70" t="s">
        <v>71</v>
      </c>
      <c r="E165" s="71" t="s">
        <v>34</v>
      </c>
      <c r="F165" s="79"/>
      <c r="G165" s="73">
        <v>25000</v>
      </c>
      <c r="H165" s="74">
        <f t="shared" si="3"/>
        <v>809247</v>
      </c>
      <c r="J165" s="76"/>
    </row>
    <row r="166" spans="2:10" ht="17.100000000000001" customHeight="1" x14ac:dyDescent="0.25">
      <c r="B166" s="69">
        <v>46218</v>
      </c>
      <c r="C166" s="125" t="s">
        <v>35</v>
      </c>
      <c r="D166" s="77" t="s">
        <v>72</v>
      </c>
      <c r="E166" s="71" t="s">
        <v>34</v>
      </c>
      <c r="F166" s="79"/>
      <c r="G166" s="73">
        <v>25000</v>
      </c>
      <c r="H166" s="74">
        <f t="shared" si="3"/>
        <v>784247</v>
      </c>
      <c r="J166" s="76"/>
    </row>
    <row r="167" spans="2:10" ht="17.100000000000001" customHeight="1" x14ac:dyDescent="0.25">
      <c r="B167" s="69">
        <v>46218</v>
      </c>
      <c r="C167" s="121" t="s">
        <v>67</v>
      </c>
      <c r="D167" s="78" t="s">
        <v>79</v>
      </c>
      <c r="E167" s="71" t="s">
        <v>34</v>
      </c>
      <c r="F167" s="79"/>
      <c r="G167" s="73">
        <v>50000</v>
      </c>
      <c r="H167" s="74">
        <f t="shared" si="3"/>
        <v>734247</v>
      </c>
      <c r="J167" s="76"/>
    </row>
    <row r="168" spans="2:10" ht="17.100000000000001" customHeight="1" x14ac:dyDescent="0.25">
      <c r="B168" s="69">
        <v>46218</v>
      </c>
      <c r="C168" s="125" t="s">
        <v>163</v>
      </c>
      <c r="D168" s="70" t="s">
        <v>113</v>
      </c>
      <c r="E168" s="71" t="s">
        <v>108</v>
      </c>
      <c r="F168" s="79"/>
      <c r="G168" s="73">
        <v>25000</v>
      </c>
      <c r="H168" s="74">
        <f t="shared" si="3"/>
        <v>709247</v>
      </c>
      <c r="J168" s="76"/>
    </row>
    <row r="169" spans="2:10" ht="17.100000000000001" customHeight="1" x14ac:dyDescent="0.25">
      <c r="B169" s="69">
        <v>46218</v>
      </c>
      <c r="C169" s="125" t="s">
        <v>163</v>
      </c>
      <c r="D169" s="70" t="s">
        <v>107</v>
      </c>
      <c r="E169" s="71" t="s">
        <v>108</v>
      </c>
      <c r="F169" s="79"/>
      <c r="G169" s="73">
        <v>25000</v>
      </c>
      <c r="H169" s="74">
        <f t="shared" si="3"/>
        <v>684247</v>
      </c>
      <c r="J169" s="76"/>
    </row>
    <row r="170" spans="2:10" ht="17.100000000000001" customHeight="1" x14ac:dyDescent="0.25">
      <c r="B170" s="69">
        <v>46218</v>
      </c>
      <c r="C170" s="121" t="s">
        <v>35</v>
      </c>
      <c r="D170" s="70" t="s">
        <v>66</v>
      </c>
      <c r="E170" s="71" t="s">
        <v>108</v>
      </c>
      <c r="F170" s="79"/>
      <c r="G170" s="73">
        <v>50000</v>
      </c>
      <c r="H170" s="74">
        <f t="shared" si="3"/>
        <v>634247</v>
      </c>
      <c r="J170" s="76"/>
    </row>
    <row r="171" spans="2:10" ht="17.100000000000001" customHeight="1" x14ac:dyDescent="0.25">
      <c r="B171" s="69">
        <v>46218</v>
      </c>
      <c r="C171" s="121" t="s">
        <v>167</v>
      </c>
      <c r="D171" s="70" t="s">
        <v>177</v>
      </c>
      <c r="E171" s="71" t="s">
        <v>70</v>
      </c>
      <c r="F171" s="79"/>
      <c r="G171" s="73">
        <v>25000</v>
      </c>
      <c r="H171" s="74">
        <f t="shared" si="3"/>
        <v>609247</v>
      </c>
      <c r="J171" s="76"/>
    </row>
    <row r="172" spans="2:10" ht="17.100000000000001" customHeight="1" x14ac:dyDescent="0.25">
      <c r="B172" s="69">
        <v>46218</v>
      </c>
      <c r="C172" s="121" t="s">
        <v>35</v>
      </c>
      <c r="D172" s="70" t="s">
        <v>178</v>
      </c>
      <c r="E172" s="71" t="s">
        <v>70</v>
      </c>
      <c r="F172" s="79"/>
      <c r="G172" s="73">
        <v>25000</v>
      </c>
      <c r="H172" s="74">
        <f t="shared" si="3"/>
        <v>584247</v>
      </c>
      <c r="J172" s="76"/>
    </row>
    <row r="173" spans="2:10" ht="17.100000000000001" customHeight="1" x14ac:dyDescent="0.25">
      <c r="B173" s="69">
        <v>46218</v>
      </c>
      <c r="C173" s="130" t="s">
        <v>181</v>
      </c>
      <c r="D173" s="70" t="s">
        <v>180</v>
      </c>
      <c r="E173" s="71" t="s">
        <v>22</v>
      </c>
      <c r="F173" s="79"/>
      <c r="G173" s="73">
        <v>110000</v>
      </c>
      <c r="H173" s="74">
        <f t="shared" si="3"/>
        <v>474247</v>
      </c>
      <c r="J173" s="76"/>
    </row>
    <row r="174" spans="2:10" ht="17.100000000000001" customHeight="1" x14ac:dyDescent="0.25">
      <c r="B174" s="63">
        <v>46220</v>
      </c>
      <c r="C174" s="131" t="s">
        <v>40</v>
      </c>
      <c r="D174" s="93" t="s">
        <v>32</v>
      </c>
      <c r="E174" s="82" t="s">
        <v>18</v>
      </c>
      <c r="F174" s="83">
        <v>5000000</v>
      </c>
      <c r="G174" s="84"/>
      <c r="H174" s="68">
        <v>5474247</v>
      </c>
      <c r="J174" s="76"/>
    </row>
    <row r="175" spans="2:10" ht="17.100000000000001" customHeight="1" x14ac:dyDescent="0.25">
      <c r="B175" s="69">
        <v>46220</v>
      </c>
      <c r="C175" s="125" t="s">
        <v>50</v>
      </c>
      <c r="D175" s="70" t="s">
        <v>39</v>
      </c>
      <c r="E175" s="71" t="s">
        <v>38</v>
      </c>
      <c r="F175" s="79"/>
      <c r="G175" s="73">
        <v>22500</v>
      </c>
      <c r="H175" s="74">
        <f t="shared" si="3"/>
        <v>5451747</v>
      </c>
      <c r="J175" s="76"/>
    </row>
    <row r="176" spans="2:10" ht="17.100000000000001" customHeight="1" x14ac:dyDescent="0.25">
      <c r="B176" s="69">
        <v>46220</v>
      </c>
      <c r="C176" s="121" t="s">
        <v>182</v>
      </c>
      <c r="D176" s="70" t="s">
        <v>183</v>
      </c>
      <c r="E176" s="71" t="s">
        <v>103</v>
      </c>
      <c r="F176" s="79"/>
      <c r="G176" s="73">
        <v>136000</v>
      </c>
      <c r="H176" s="74">
        <f t="shared" si="3"/>
        <v>5315747</v>
      </c>
      <c r="J176" s="76"/>
    </row>
    <row r="177" spans="2:11" ht="17.100000000000001" customHeight="1" x14ac:dyDescent="0.25">
      <c r="B177" s="69">
        <v>46220</v>
      </c>
      <c r="C177" s="121" t="s">
        <v>182</v>
      </c>
      <c r="D177" s="70" t="s">
        <v>218</v>
      </c>
      <c r="E177" s="71" t="s">
        <v>51</v>
      </c>
      <c r="F177" s="79"/>
      <c r="G177" s="73">
        <v>88000</v>
      </c>
      <c r="H177" s="74">
        <f t="shared" si="3"/>
        <v>5227747</v>
      </c>
      <c r="J177" s="76"/>
    </row>
    <row r="178" spans="2:11" ht="17.100000000000001" customHeight="1" x14ac:dyDescent="0.25">
      <c r="B178" s="69">
        <v>46220</v>
      </c>
      <c r="C178" s="121" t="s">
        <v>209</v>
      </c>
      <c r="D178" s="70" t="s">
        <v>223</v>
      </c>
      <c r="E178" s="71" t="s">
        <v>51</v>
      </c>
      <c r="F178" s="79"/>
      <c r="G178" s="73">
        <v>12000</v>
      </c>
      <c r="H178" s="74">
        <f t="shared" si="3"/>
        <v>5215747</v>
      </c>
      <c r="J178" s="76"/>
    </row>
    <row r="179" spans="2:11" ht="17.100000000000001" customHeight="1" x14ac:dyDescent="0.25">
      <c r="B179" s="69">
        <v>46220</v>
      </c>
      <c r="C179" s="121" t="s">
        <v>182</v>
      </c>
      <c r="D179" s="70" t="s">
        <v>184</v>
      </c>
      <c r="E179" s="71" t="s">
        <v>103</v>
      </c>
      <c r="F179" s="72"/>
      <c r="G179" s="73">
        <v>586547</v>
      </c>
      <c r="H179" s="74">
        <f t="shared" si="3"/>
        <v>4629200</v>
      </c>
      <c r="J179" s="76"/>
      <c r="K179" s="76"/>
    </row>
    <row r="180" spans="2:11" ht="17.100000000000001" customHeight="1" x14ac:dyDescent="0.25">
      <c r="B180" s="69">
        <v>46220</v>
      </c>
      <c r="C180" s="121" t="s">
        <v>185</v>
      </c>
      <c r="D180" s="78" t="s">
        <v>186</v>
      </c>
      <c r="E180" s="71" t="s">
        <v>187</v>
      </c>
      <c r="F180" s="72"/>
      <c r="G180" s="73">
        <v>100000</v>
      </c>
      <c r="H180" s="74">
        <f t="shared" si="3"/>
        <v>4529200</v>
      </c>
      <c r="J180" s="76"/>
      <c r="K180" s="76"/>
    </row>
    <row r="181" spans="2:11" ht="17.100000000000001" customHeight="1" x14ac:dyDescent="0.25">
      <c r="B181" s="69">
        <v>46220</v>
      </c>
      <c r="C181" s="121" t="s">
        <v>23</v>
      </c>
      <c r="D181" s="85" t="s">
        <v>188</v>
      </c>
      <c r="E181" s="71" t="s">
        <v>25</v>
      </c>
      <c r="F181" s="79"/>
      <c r="G181" s="73">
        <v>25000</v>
      </c>
      <c r="H181" s="74">
        <f t="shared" si="3"/>
        <v>4504200</v>
      </c>
      <c r="J181" s="76"/>
      <c r="K181" s="76"/>
    </row>
    <row r="182" spans="2:11" ht="17.100000000000001" customHeight="1" x14ac:dyDescent="0.25">
      <c r="B182" s="69">
        <v>46220</v>
      </c>
      <c r="C182" s="121" t="s">
        <v>28</v>
      </c>
      <c r="D182" s="70" t="s">
        <v>189</v>
      </c>
      <c r="E182" s="71" t="s">
        <v>25</v>
      </c>
      <c r="F182" s="79"/>
      <c r="G182" s="73">
        <v>25000</v>
      </c>
      <c r="H182" s="74">
        <f t="shared" si="3"/>
        <v>4479200</v>
      </c>
      <c r="J182" s="76"/>
    </row>
    <row r="183" spans="2:11" ht="17.100000000000001" customHeight="1" x14ac:dyDescent="0.25">
      <c r="B183" s="69">
        <v>46220</v>
      </c>
      <c r="C183" s="121" t="s">
        <v>29</v>
      </c>
      <c r="D183" s="78" t="s">
        <v>190</v>
      </c>
      <c r="E183" s="71" t="s">
        <v>25</v>
      </c>
      <c r="F183" s="79"/>
      <c r="G183" s="73">
        <v>50000</v>
      </c>
      <c r="H183" s="74">
        <f t="shared" si="3"/>
        <v>4429200</v>
      </c>
      <c r="J183" s="76"/>
    </row>
    <row r="184" spans="2:11" ht="17.100000000000001" customHeight="1" x14ac:dyDescent="0.25">
      <c r="B184" s="69">
        <v>46220</v>
      </c>
      <c r="C184" s="121" t="s">
        <v>33</v>
      </c>
      <c r="D184" s="70" t="s">
        <v>191</v>
      </c>
      <c r="E184" s="71" t="s">
        <v>34</v>
      </c>
      <c r="F184" s="79"/>
      <c r="G184" s="73">
        <v>25000</v>
      </c>
      <c r="H184" s="74">
        <f t="shared" si="3"/>
        <v>4404200</v>
      </c>
      <c r="J184" s="76"/>
    </row>
    <row r="185" spans="2:11" ht="17.100000000000001" customHeight="1" x14ac:dyDescent="0.25">
      <c r="B185" s="69">
        <v>46220</v>
      </c>
      <c r="C185" s="121" t="s">
        <v>209</v>
      </c>
      <c r="D185" s="77" t="s">
        <v>212</v>
      </c>
      <c r="E185" s="71" t="s">
        <v>51</v>
      </c>
      <c r="F185" s="79"/>
      <c r="G185" s="73">
        <v>82000</v>
      </c>
      <c r="H185" s="74">
        <f t="shared" si="3"/>
        <v>4322200</v>
      </c>
      <c r="J185" s="76"/>
    </row>
    <row r="186" spans="2:11" ht="17.100000000000001" customHeight="1" x14ac:dyDescent="0.25">
      <c r="B186" s="69">
        <v>46220</v>
      </c>
      <c r="C186" s="125" t="s">
        <v>28</v>
      </c>
      <c r="D186" s="77" t="s">
        <v>192</v>
      </c>
      <c r="E186" s="71" t="s">
        <v>34</v>
      </c>
      <c r="F186" s="79"/>
      <c r="G186" s="73">
        <v>25000</v>
      </c>
      <c r="H186" s="74">
        <f t="shared" si="3"/>
        <v>4297200</v>
      </c>
      <c r="J186" s="76"/>
    </row>
    <row r="187" spans="2:11" ht="17.100000000000001" customHeight="1" x14ac:dyDescent="0.25">
      <c r="B187" s="69">
        <v>46220</v>
      </c>
      <c r="C187" s="125" t="s">
        <v>29</v>
      </c>
      <c r="D187" s="70" t="s">
        <v>193</v>
      </c>
      <c r="E187" s="71" t="s">
        <v>34</v>
      </c>
      <c r="F187" s="79"/>
      <c r="G187" s="73">
        <v>50000</v>
      </c>
      <c r="H187" s="74">
        <f t="shared" si="3"/>
        <v>4247200</v>
      </c>
      <c r="J187" s="76"/>
    </row>
    <row r="188" spans="2:11" ht="17.100000000000001" customHeight="1" x14ac:dyDescent="0.25">
      <c r="B188" s="69">
        <v>46220</v>
      </c>
      <c r="C188" s="121" t="s">
        <v>163</v>
      </c>
      <c r="D188" s="70" t="s">
        <v>69</v>
      </c>
      <c r="E188" s="71" t="s">
        <v>70</v>
      </c>
      <c r="F188" s="79"/>
      <c r="G188" s="73">
        <v>25000</v>
      </c>
      <c r="H188" s="74">
        <f t="shared" si="3"/>
        <v>4222200</v>
      </c>
      <c r="J188" s="76"/>
    </row>
    <row r="189" spans="2:11" ht="17.100000000000001" customHeight="1" x14ac:dyDescent="0.25">
      <c r="B189" s="69">
        <v>46220</v>
      </c>
      <c r="C189" s="125" t="s">
        <v>28</v>
      </c>
      <c r="D189" s="77" t="s">
        <v>194</v>
      </c>
      <c r="E189" s="71" t="s">
        <v>70</v>
      </c>
      <c r="F189" s="79"/>
      <c r="G189" s="73">
        <v>25000</v>
      </c>
      <c r="H189" s="74">
        <f t="shared" si="3"/>
        <v>4197200</v>
      </c>
      <c r="J189" s="76"/>
    </row>
    <row r="190" spans="2:11" ht="17.100000000000001" customHeight="1" x14ac:dyDescent="0.25">
      <c r="B190" s="69">
        <v>46220</v>
      </c>
      <c r="C190" s="121" t="s">
        <v>182</v>
      </c>
      <c r="D190" s="70" t="s">
        <v>195</v>
      </c>
      <c r="E190" s="71" t="s">
        <v>103</v>
      </c>
      <c r="F190" s="79"/>
      <c r="G190" s="73">
        <v>586547</v>
      </c>
      <c r="H190" s="74">
        <f t="shared" si="3"/>
        <v>3610653</v>
      </c>
      <c r="J190" s="76"/>
    </row>
    <row r="191" spans="2:11" ht="17.100000000000001" customHeight="1" x14ac:dyDescent="0.25">
      <c r="B191" s="69">
        <v>46220</v>
      </c>
      <c r="C191" s="125" t="s">
        <v>29</v>
      </c>
      <c r="D191" s="77" t="s">
        <v>84</v>
      </c>
      <c r="E191" s="71" t="s">
        <v>80</v>
      </c>
      <c r="F191" s="79"/>
      <c r="G191" s="73">
        <v>50000</v>
      </c>
      <c r="H191" s="74">
        <f t="shared" si="3"/>
        <v>3560653</v>
      </c>
      <c r="J191" s="76"/>
    </row>
    <row r="192" spans="2:11" ht="17.100000000000001" customHeight="1" x14ac:dyDescent="0.25">
      <c r="B192" s="69">
        <v>46220</v>
      </c>
      <c r="C192" s="121" t="s">
        <v>33</v>
      </c>
      <c r="D192" s="78" t="s">
        <v>191</v>
      </c>
      <c r="E192" s="71" t="s">
        <v>34</v>
      </c>
      <c r="F192" s="79"/>
      <c r="G192" s="73">
        <v>25000</v>
      </c>
      <c r="H192" s="74">
        <f t="shared" si="3"/>
        <v>3535653</v>
      </c>
      <c r="J192" s="76"/>
    </row>
    <row r="193" spans="2:10" ht="17.100000000000001" customHeight="1" x14ac:dyDescent="0.25">
      <c r="B193" s="69">
        <v>46220</v>
      </c>
      <c r="C193" s="125" t="s">
        <v>28</v>
      </c>
      <c r="D193" s="70" t="s">
        <v>192</v>
      </c>
      <c r="E193" s="71" t="s">
        <v>34</v>
      </c>
      <c r="F193" s="79"/>
      <c r="G193" s="73">
        <v>25000</v>
      </c>
      <c r="H193" s="74">
        <f t="shared" si="3"/>
        <v>3510653</v>
      </c>
      <c r="J193" s="76"/>
    </row>
    <row r="194" spans="2:10" ht="17.100000000000001" customHeight="1" x14ac:dyDescent="0.25">
      <c r="B194" s="69">
        <v>46220</v>
      </c>
      <c r="C194" s="121" t="s">
        <v>29</v>
      </c>
      <c r="D194" s="70" t="s">
        <v>193</v>
      </c>
      <c r="E194" s="71" t="s">
        <v>34</v>
      </c>
      <c r="F194" s="79"/>
      <c r="G194" s="73">
        <v>50000</v>
      </c>
      <c r="H194" s="74">
        <f t="shared" si="3"/>
        <v>3460653</v>
      </c>
      <c r="J194" s="76"/>
    </row>
    <row r="195" spans="2:10" ht="17.100000000000001" customHeight="1" x14ac:dyDescent="0.25">
      <c r="B195" s="69">
        <v>46220</v>
      </c>
      <c r="C195" s="125" t="s">
        <v>196</v>
      </c>
      <c r="D195" s="77" t="s">
        <v>113</v>
      </c>
      <c r="E195" s="71" t="s">
        <v>108</v>
      </c>
      <c r="F195" s="79"/>
      <c r="G195" s="73">
        <v>25000</v>
      </c>
      <c r="H195" s="74">
        <f t="shared" si="3"/>
        <v>3435653</v>
      </c>
      <c r="J195" s="76"/>
    </row>
    <row r="196" spans="2:10" ht="17.100000000000001" customHeight="1" x14ac:dyDescent="0.25">
      <c r="B196" s="69">
        <v>46220</v>
      </c>
      <c r="C196" s="125" t="s">
        <v>196</v>
      </c>
      <c r="D196" s="77" t="s">
        <v>107</v>
      </c>
      <c r="E196" s="71" t="s">
        <v>108</v>
      </c>
      <c r="F196" s="79"/>
      <c r="G196" s="73">
        <v>25000</v>
      </c>
      <c r="H196" s="74">
        <f t="shared" si="3"/>
        <v>3410653</v>
      </c>
      <c r="J196" s="76"/>
    </row>
    <row r="197" spans="2:10" ht="17.100000000000001" customHeight="1" x14ac:dyDescent="0.25">
      <c r="B197" s="69">
        <v>46220</v>
      </c>
      <c r="C197" s="125" t="s">
        <v>28</v>
      </c>
      <c r="D197" s="77" t="s">
        <v>66</v>
      </c>
      <c r="E197" s="71" t="s">
        <v>108</v>
      </c>
      <c r="F197" s="79"/>
      <c r="G197" s="73">
        <v>50000</v>
      </c>
      <c r="H197" s="74">
        <f t="shared" si="3"/>
        <v>3360653</v>
      </c>
      <c r="J197" s="76"/>
    </row>
    <row r="198" spans="2:10" ht="17.100000000000001" customHeight="1" x14ac:dyDescent="0.25">
      <c r="B198" s="69">
        <v>46220</v>
      </c>
      <c r="C198" s="121" t="s">
        <v>23</v>
      </c>
      <c r="D198" s="85" t="s">
        <v>188</v>
      </c>
      <c r="E198" s="71" t="s">
        <v>25</v>
      </c>
      <c r="F198" s="79"/>
      <c r="G198" s="73">
        <v>25000</v>
      </c>
      <c r="H198" s="74">
        <f t="shared" si="3"/>
        <v>3335653</v>
      </c>
      <c r="J198" s="76"/>
    </row>
    <row r="199" spans="2:10" ht="17.100000000000001" customHeight="1" x14ac:dyDescent="0.25">
      <c r="B199" s="69">
        <v>46220</v>
      </c>
      <c r="C199" s="121" t="s">
        <v>28</v>
      </c>
      <c r="D199" s="70" t="s">
        <v>189</v>
      </c>
      <c r="E199" s="71" t="s">
        <v>25</v>
      </c>
      <c r="F199" s="79"/>
      <c r="G199" s="73">
        <v>25000</v>
      </c>
      <c r="H199" s="74">
        <f t="shared" si="3"/>
        <v>3310653</v>
      </c>
      <c r="J199" s="76"/>
    </row>
    <row r="200" spans="2:10" ht="17.100000000000001" customHeight="1" x14ac:dyDescent="0.25">
      <c r="B200" s="69">
        <v>46220</v>
      </c>
      <c r="C200" s="121" t="s">
        <v>182</v>
      </c>
      <c r="D200" s="70" t="s">
        <v>202</v>
      </c>
      <c r="E200" s="71" t="s">
        <v>103</v>
      </c>
      <c r="F200" s="79"/>
      <c r="G200" s="73">
        <v>292746</v>
      </c>
      <c r="H200" s="74">
        <f t="shared" si="3"/>
        <v>3017907</v>
      </c>
      <c r="J200" s="76"/>
    </row>
    <row r="201" spans="2:10" ht="17.100000000000001" customHeight="1" x14ac:dyDescent="0.25">
      <c r="B201" s="69">
        <v>46220</v>
      </c>
      <c r="C201" s="121" t="s">
        <v>209</v>
      </c>
      <c r="D201" s="70" t="s">
        <v>128</v>
      </c>
      <c r="E201" s="71" t="s">
        <v>49</v>
      </c>
      <c r="F201" s="79"/>
      <c r="G201" s="73">
        <v>195000</v>
      </c>
      <c r="H201" s="74">
        <f t="shared" si="3"/>
        <v>2822907</v>
      </c>
      <c r="J201" s="76"/>
    </row>
    <row r="202" spans="2:10" ht="17.100000000000001" customHeight="1" x14ac:dyDescent="0.25">
      <c r="B202" s="69">
        <v>46220</v>
      </c>
      <c r="C202" s="136" t="s">
        <v>220</v>
      </c>
      <c r="D202" s="70" t="s">
        <v>203</v>
      </c>
      <c r="E202" s="71" t="s">
        <v>204</v>
      </c>
      <c r="F202" s="79"/>
      <c r="G202" s="73">
        <v>90000</v>
      </c>
      <c r="H202" s="74">
        <f t="shared" ref="H202:H236" si="4">H201+F202-G202</f>
        <v>2732907</v>
      </c>
      <c r="J202" s="76"/>
    </row>
    <row r="203" spans="2:10" ht="17.100000000000001" customHeight="1" x14ac:dyDescent="0.25">
      <c r="B203" s="69">
        <v>46220</v>
      </c>
      <c r="C203" s="121" t="s">
        <v>222</v>
      </c>
      <c r="D203" s="77" t="s">
        <v>206</v>
      </c>
      <c r="E203" s="71" t="s">
        <v>204</v>
      </c>
      <c r="F203" s="79"/>
      <c r="G203" s="73">
        <v>186500</v>
      </c>
      <c r="H203" s="74">
        <f t="shared" si="4"/>
        <v>2546407</v>
      </c>
      <c r="J203" s="76"/>
    </row>
    <row r="204" spans="2:10" ht="17.100000000000001" customHeight="1" x14ac:dyDescent="0.25">
      <c r="B204" s="69">
        <v>46220</v>
      </c>
      <c r="C204" s="137" t="s">
        <v>221</v>
      </c>
      <c r="D204" s="77" t="s">
        <v>205</v>
      </c>
      <c r="E204" s="71" t="s">
        <v>204</v>
      </c>
      <c r="F204" s="79"/>
      <c r="G204" s="73">
        <v>240000</v>
      </c>
      <c r="H204" s="74">
        <f t="shared" si="4"/>
        <v>2306407</v>
      </c>
      <c r="J204" s="76"/>
    </row>
    <row r="205" spans="2:10" ht="17.100000000000001" customHeight="1" x14ac:dyDescent="0.25">
      <c r="B205" s="69">
        <v>46220</v>
      </c>
      <c r="C205" s="116" t="s">
        <v>209</v>
      </c>
      <c r="D205" s="70" t="s">
        <v>207</v>
      </c>
      <c r="E205" s="71" t="s">
        <v>103</v>
      </c>
      <c r="F205" s="79"/>
      <c r="G205" s="73">
        <v>410000</v>
      </c>
      <c r="H205" s="74">
        <f t="shared" si="4"/>
        <v>1896407</v>
      </c>
      <c r="J205" s="76"/>
    </row>
    <row r="206" spans="2:10" ht="17.100000000000001" customHeight="1" x14ac:dyDescent="0.25">
      <c r="B206" s="69">
        <v>46220</v>
      </c>
      <c r="C206" s="116" t="s">
        <v>209</v>
      </c>
      <c r="D206" s="70" t="s">
        <v>217</v>
      </c>
      <c r="E206" s="71" t="s">
        <v>103</v>
      </c>
      <c r="F206" s="79"/>
      <c r="G206" s="73">
        <v>40000</v>
      </c>
      <c r="H206" s="74">
        <f t="shared" si="4"/>
        <v>1856407</v>
      </c>
      <c r="J206" s="76"/>
    </row>
    <row r="207" spans="2:10" ht="17.100000000000001" customHeight="1" x14ac:dyDescent="0.25">
      <c r="B207" s="69">
        <v>46220</v>
      </c>
      <c r="C207" s="116" t="s">
        <v>209</v>
      </c>
      <c r="D207" s="77" t="s">
        <v>208</v>
      </c>
      <c r="E207" s="71" t="s">
        <v>49</v>
      </c>
      <c r="F207" s="79"/>
      <c r="G207" s="73">
        <f>50*13000</f>
        <v>650000</v>
      </c>
      <c r="H207" s="74">
        <f t="shared" si="4"/>
        <v>1206407</v>
      </c>
      <c r="J207" s="76"/>
    </row>
    <row r="208" spans="2:10" ht="17.100000000000001" customHeight="1" x14ac:dyDescent="0.25">
      <c r="B208" s="69">
        <v>46220</v>
      </c>
      <c r="C208" s="134" t="s">
        <v>164</v>
      </c>
      <c r="D208" s="70" t="s">
        <v>211</v>
      </c>
      <c r="E208" s="71" t="s">
        <v>22</v>
      </c>
      <c r="F208" s="79"/>
      <c r="G208" s="73">
        <v>135000</v>
      </c>
      <c r="H208" s="74">
        <f t="shared" si="4"/>
        <v>1071407</v>
      </c>
      <c r="J208" s="76"/>
    </row>
    <row r="209" spans="2:10" ht="17.100000000000001" customHeight="1" x14ac:dyDescent="0.25">
      <c r="B209" s="69">
        <v>46220</v>
      </c>
      <c r="C209" s="135" t="s">
        <v>219</v>
      </c>
      <c r="D209" s="70" t="s">
        <v>210</v>
      </c>
      <c r="E209" s="71" t="s">
        <v>22</v>
      </c>
      <c r="F209" s="79"/>
      <c r="G209" s="73">
        <v>288220</v>
      </c>
      <c r="H209" s="74">
        <f t="shared" si="4"/>
        <v>783187</v>
      </c>
      <c r="J209" s="76"/>
    </row>
    <row r="210" spans="2:10" ht="17.100000000000001" customHeight="1" x14ac:dyDescent="0.25">
      <c r="B210" s="69">
        <v>46220</v>
      </c>
      <c r="C210" s="116" t="s">
        <v>182</v>
      </c>
      <c r="D210" s="70" t="s">
        <v>215</v>
      </c>
      <c r="E210" s="71" t="s">
        <v>80</v>
      </c>
      <c r="F210" s="79"/>
      <c r="G210" s="73">
        <v>75000</v>
      </c>
      <c r="H210" s="74">
        <f t="shared" si="4"/>
        <v>708187</v>
      </c>
      <c r="J210" s="76"/>
    </row>
    <row r="211" spans="2:10" ht="17.100000000000001" customHeight="1" x14ac:dyDescent="0.25">
      <c r="B211" s="69">
        <v>46221</v>
      </c>
      <c r="C211" s="125" t="s">
        <v>196</v>
      </c>
      <c r="D211" s="77" t="s">
        <v>230</v>
      </c>
      <c r="E211" s="71" t="s">
        <v>70</v>
      </c>
      <c r="F211" s="79"/>
      <c r="G211" s="73">
        <v>100000</v>
      </c>
      <c r="H211" s="74">
        <f t="shared" si="4"/>
        <v>608187</v>
      </c>
      <c r="J211" s="76"/>
    </row>
    <row r="212" spans="2:10" ht="17.100000000000001" customHeight="1" x14ac:dyDescent="0.25">
      <c r="B212" s="69">
        <v>46221</v>
      </c>
      <c r="C212" s="121" t="s">
        <v>182</v>
      </c>
      <c r="D212" s="70" t="s">
        <v>216</v>
      </c>
      <c r="E212" s="71" t="s">
        <v>103</v>
      </c>
      <c r="F212" s="79"/>
      <c r="G212" s="73">
        <v>75000</v>
      </c>
      <c r="H212" s="74">
        <f t="shared" si="4"/>
        <v>533187</v>
      </c>
      <c r="J212" s="76"/>
    </row>
    <row r="213" spans="2:10" ht="17.100000000000001" customHeight="1" x14ac:dyDescent="0.25">
      <c r="B213" s="69">
        <v>46221</v>
      </c>
      <c r="C213" s="121" t="s">
        <v>23</v>
      </c>
      <c r="D213" s="85" t="s">
        <v>224</v>
      </c>
      <c r="E213" s="71" t="s">
        <v>25</v>
      </c>
      <c r="F213" s="79"/>
      <c r="G213" s="73">
        <v>25000</v>
      </c>
      <c r="H213" s="74">
        <f t="shared" si="4"/>
        <v>508187</v>
      </c>
      <c r="J213" s="76"/>
    </row>
    <row r="214" spans="2:10" ht="17.100000000000001" customHeight="1" x14ac:dyDescent="0.25">
      <c r="B214" s="69">
        <v>46221</v>
      </c>
      <c r="C214" s="121" t="s">
        <v>28</v>
      </c>
      <c r="D214" s="70" t="s">
        <v>225</v>
      </c>
      <c r="E214" s="71" t="s">
        <v>25</v>
      </c>
      <c r="F214" s="79"/>
      <c r="G214" s="73">
        <v>25000</v>
      </c>
      <c r="H214" s="74">
        <f t="shared" si="4"/>
        <v>483187</v>
      </c>
      <c r="J214" s="76"/>
    </row>
    <row r="215" spans="2:10" ht="17.100000000000001" customHeight="1" x14ac:dyDescent="0.25">
      <c r="B215" s="69">
        <v>46221</v>
      </c>
      <c r="C215" s="121" t="s">
        <v>29</v>
      </c>
      <c r="D215" s="78" t="s">
        <v>226</v>
      </c>
      <c r="E215" s="71" t="s">
        <v>25</v>
      </c>
      <c r="F215" s="79"/>
      <c r="G215" s="73">
        <v>50000</v>
      </c>
      <c r="H215" s="74">
        <f t="shared" si="4"/>
        <v>433187</v>
      </c>
      <c r="J215" s="76"/>
    </row>
    <row r="216" spans="2:10" ht="17.100000000000001" customHeight="1" x14ac:dyDescent="0.25">
      <c r="B216" s="69">
        <v>46221</v>
      </c>
      <c r="C216" s="125" t="s">
        <v>29</v>
      </c>
      <c r="D216" s="77" t="s">
        <v>84</v>
      </c>
      <c r="E216" s="71" t="s">
        <v>80</v>
      </c>
      <c r="F216" s="79"/>
      <c r="G216" s="73">
        <v>50000</v>
      </c>
      <c r="H216" s="74">
        <f t="shared" si="4"/>
        <v>383187</v>
      </c>
      <c r="J216" s="76"/>
    </row>
    <row r="217" spans="2:10" ht="17.100000000000001" customHeight="1" x14ac:dyDescent="0.25">
      <c r="B217" s="69">
        <v>46221</v>
      </c>
      <c r="C217" s="121" t="s">
        <v>33</v>
      </c>
      <c r="D217" s="78" t="s">
        <v>191</v>
      </c>
      <c r="E217" s="71" t="s">
        <v>34</v>
      </c>
      <c r="F217" s="79"/>
      <c r="G217" s="73">
        <v>25000</v>
      </c>
      <c r="H217" s="74">
        <f t="shared" si="4"/>
        <v>358187</v>
      </c>
      <c r="J217" s="76"/>
    </row>
    <row r="218" spans="2:10" ht="17.100000000000001" customHeight="1" x14ac:dyDescent="0.25">
      <c r="B218" s="69">
        <v>46221</v>
      </c>
      <c r="C218" s="125" t="s">
        <v>28</v>
      </c>
      <c r="D218" s="70" t="s">
        <v>192</v>
      </c>
      <c r="E218" s="71" t="s">
        <v>34</v>
      </c>
      <c r="F218" s="79"/>
      <c r="G218" s="73">
        <v>25000</v>
      </c>
      <c r="H218" s="74">
        <f t="shared" si="4"/>
        <v>333187</v>
      </c>
      <c r="J218" s="76"/>
    </row>
    <row r="219" spans="2:10" ht="17.100000000000001" customHeight="1" x14ac:dyDescent="0.25">
      <c r="B219" s="69">
        <v>46221</v>
      </c>
      <c r="C219" s="121" t="s">
        <v>29</v>
      </c>
      <c r="D219" s="70" t="s">
        <v>193</v>
      </c>
      <c r="E219" s="71" t="s">
        <v>34</v>
      </c>
      <c r="F219" s="79"/>
      <c r="G219" s="73">
        <v>50000</v>
      </c>
      <c r="H219" s="74">
        <f t="shared" si="4"/>
        <v>283187</v>
      </c>
      <c r="J219" s="76"/>
    </row>
    <row r="220" spans="2:10" ht="17.100000000000001" customHeight="1" x14ac:dyDescent="0.25">
      <c r="B220" s="69">
        <v>46221</v>
      </c>
      <c r="C220" s="121" t="s">
        <v>23</v>
      </c>
      <c r="D220" s="85" t="s">
        <v>227</v>
      </c>
      <c r="E220" s="71" t="s">
        <v>25</v>
      </c>
      <c r="F220" s="79"/>
      <c r="G220" s="73">
        <v>25000</v>
      </c>
      <c r="H220" s="74">
        <f t="shared" si="4"/>
        <v>258187</v>
      </c>
      <c r="J220" s="76"/>
    </row>
    <row r="221" spans="2:10" ht="17.100000000000001" customHeight="1" x14ac:dyDescent="0.25">
      <c r="B221" s="69">
        <v>46221</v>
      </c>
      <c r="C221" s="121" t="s">
        <v>28</v>
      </c>
      <c r="D221" s="70" t="s">
        <v>228</v>
      </c>
      <c r="E221" s="71" t="s">
        <v>25</v>
      </c>
      <c r="F221" s="79"/>
      <c r="G221" s="73">
        <v>25000</v>
      </c>
      <c r="H221" s="74">
        <f t="shared" si="4"/>
        <v>233187</v>
      </c>
      <c r="J221" s="76"/>
    </row>
    <row r="222" spans="2:10" ht="17.100000000000001" customHeight="1" x14ac:dyDescent="0.25">
      <c r="B222" s="69">
        <v>46221</v>
      </c>
      <c r="C222" s="121" t="s">
        <v>29</v>
      </c>
      <c r="D222" s="78" t="s">
        <v>229</v>
      </c>
      <c r="E222" s="71" t="s">
        <v>25</v>
      </c>
      <c r="F222" s="79"/>
      <c r="G222" s="73">
        <v>50000</v>
      </c>
      <c r="H222" s="74">
        <f t="shared" si="4"/>
        <v>183187</v>
      </c>
      <c r="J222" s="76"/>
    </row>
    <row r="223" spans="2:10" ht="17.100000000000001" customHeight="1" x14ac:dyDescent="0.25">
      <c r="B223" s="69">
        <v>46223</v>
      </c>
      <c r="C223" s="121" t="s">
        <v>33</v>
      </c>
      <c r="D223" s="78" t="s">
        <v>191</v>
      </c>
      <c r="E223" s="71" t="s">
        <v>34</v>
      </c>
      <c r="F223" s="79"/>
      <c r="G223" s="73">
        <v>25000</v>
      </c>
      <c r="H223" s="74">
        <f t="shared" si="4"/>
        <v>158187</v>
      </c>
      <c r="J223" s="76"/>
    </row>
    <row r="224" spans="2:10" ht="17.100000000000001" customHeight="1" x14ac:dyDescent="0.25">
      <c r="B224" s="69">
        <v>46223</v>
      </c>
      <c r="C224" s="125" t="s">
        <v>28</v>
      </c>
      <c r="D224" s="70" t="s">
        <v>192</v>
      </c>
      <c r="E224" s="71" t="s">
        <v>34</v>
      </c>
      <c r="F224" s="79"/>
      <c r="G224" s="73">
        <v>25000</v>
      </c>
      <c r="H224" s="74">
        <f t="shared" si="4"/>
        <v>133187</v>
      </c>
      <c r="J224" s="76"/>
    </row>
    <row r="225" spans="2:10" ht="17.100000000000001" customHeight="1" x14ac:dyDescent="0.25">
      <c r="B225" s="69">
        <v>46223</v>
      </c>
      <c r="C225" s="125" t="s">
        <v>160</v>
      </c>
      <c r="D225" s="70" t="s">
        <v>132</v>
      </c>
      <c r="E225" s="71" t="s">
        <v>70</v>
      </c>
      <c r="F225" s="79"/>
      <c r="G225" s="73">
        <v>25000</v>
      </c>
      <c r="H225" s="74">
        <f t="shared" si="4"/>
        <v>108187</v>
      </c>
      <c r="J225" s="76"/>
    </row>
    <row r="226" spans="2:10" ht="17.100000000000001" customHeight="1" x14ac:dyDescent="0.25">
      <c r="B226" s="69">
        <v>46223</v>
      </c>
      <c r="C226" s="121" t="s">
        <v>100</v>
      </c>
      <c r="D226" s="70" t="s">
        <v>131</v>
      </c>
      <c r="E226" s="71" t="s">
        <v>70</v>
      </c>
      <c r="F226" s="79"/>
      <c r="G226" s="73">
        <v>50000</v>
      </c>
      <c r="H226" s="74">
        <f t="shared" si="4"/>
        <v>58187</v>
      </c>
      <c r="J226" s="76"/>
    </row>
    <row r="227" spans="2:10" ht="17.100000000000001" customHeight="1" x14ac:dyDescent="0.25">
      <c r="B227" s="69">
        <v>46223</v>
      </c>
      <c r="C227" s="121" t="s">
        <v>101</v>
      </c>
      <c r="D227" s="78" t="s">
        <v>82</v>
      </c>
      <c r="E227" s="71" t="s">
        <v>80</v>
      </c>
      <c r="F227" s="79"/>
      <c r="G227" s="73">
        <v>25000</v>
      </c>
      <c r="H227" s="74">
        <f t="shared" si="4"/>
        <v>33187</v>
      </c>
      <c r="J227" s="76"/>
    </row>
    <row r="228" spans="2:10" ht="17.100000000000001" customHeight="1" x14ac:dyDescent="0.25">
      <c r="B228" s="69">
        <v>46223</v>
      </c>
      <c r="C228" s="121" t="s">
        <v>100</v>
      </c>
      <c r="D228" s="70" t="s">
        <v>83</v>
      </c>
      <c r="E228" s="71" t="s">
        <v>80</v>
      </c>
      <c r="F228" s="79"/>
      <c r="G228" s="73">
        <v>25000</v>
      </c>
      <c r="H228" s="74">
        <f t="shared" si="4"/>
        <v>8187</v>
      </c>
      <c r="J228" s="76"/>
    </row>
    <row r="229" spans="2:10" ht="17.100000000000001" customHeight="1" x14ac:dyDescent="0.25">
      <c r="B229" s="69">
        <v>46223</v>
      </c>
      <c r="C229" s="121" t="s">
        <v>23</v>
      </c>
      <c r="D229" s="85" t="s">
        <v>227</v>
      </c>
      <c r="E229" s="71" t="s">
        <v>25</v>
      </c>
      <c r="F229" s="79"/>
      <c r="G229" s="73">
        <v>25000</v>
      </c>
      <c r="H229" s="74">
        <f t="shared" si="4"/>
        <v>-16813</v>
      </c>
      <c r="J229" s="76"/>
    </row>
    <row r="230" spans="2:10" ht="17.100000000000001" customHeight="1" x14ac:dyDescent="0.25">
      <c r="B230" s="69">
        <v>46223</v>
      </c>
      <c r="C230" s="121" t="s">
        <v>28</v>
      </c>
      <c r="D230" s="70" t="s">
        <v>228</v>
      </c>
      <c r="E230" s="71" t="s">
        <v>25</v>
      </c>
      <c r="F230" s="79"/>
      <c r="G230" s="73">
        <v>25000</v>
      </c>
      <c r="H230" s="74">
        <f t="shared" si="4"/>
        <v>-41813</v>
      </c>
      <c r="J230" s="76"/>
    </row>
    <row r="231" spans="2:10" ht="17.100000000000001" customHeight="1" x14ac:dyDescent="0.25">
      <c r="B231" s="69">
        <v>46223</v>
      </c>
      <c r="C231" s="116" t="s">
        <v>234</v>
      </c>
      <c r="D231" s="70" t="s">
        <v>233</v>
      </c>
      <c r="E231" s="71" t="s">
        <v>232</v>
      </c>
      <c r="F231" s="79"/>
      <c r="G231" s="73">
        <v>80000</v>
      </c>
      <c r="H231" s="74">
        <f t="shared" si="4"/>
        <v>-121813</v>
      </c>
      <c r="J231" s="76"/>
    </row>
    <row r="232" spans="2:10" ht="17.100000000000001" customHeight="1" x14ac:dyDescent="0.25">
      <c r="B232" s="69">
        <v>46223</v>
      </c>
      <c r="C232" s="116" t="s">
        <v>209</v>
      </c>
      <c r="D232" s="70" t="s">
        <v>231</v>
      </c>
      <c r="E232" s="71" t="s">
        <v>51</v>
      </c>
      <c r="F232" s="79"/>
      <c r="G232" s="73">
        <v>70000</v>
      </c>
      <c r="H232" s="74">
        <f t="shared" si="4"/>
        <v>-191813</v>
      </c>
      <c r="J232" s="76"/>
    </row>
    <row r="233" spans="2:10" ht="17.100000000000001" customHeight="1" x14ac:dyDescent="0.25">
      <c r="B233" s="69">
        <v>46223</v>
      </c>
      <c r="C233" s="116" t="s">
        <v>237</v>
      </c>
      <c r="D233" s="77" t="s">
        <v>235</v>
      </c>
      <c r="E233" s="71" t="s">
        <v>51</v>
      </c>
      <c r="F233" s="79"/>
      <c r="G233" s="73">
        <v>60000</v>
      </c>
      <c r="H233" s="74">
        <f t="shared" si="4"/>
        <v>-251813</v>
      </c>
      <c r="J233" s="76"/>
    </row>
    <row r="234" spans="2:10" ht="17.100000000000001" customHeight="1" x14ac:dyDescent="0.25">
      <c r="B234" s="69">
        <v>46223</v>
      </c>
      <c r="C234" s="116" t="s">
        <v>168</v>
      </c>
      <c r="D234" s="78" t="s">
        <v>105</v>
      </c>
      <c r="E234" s="71" t="s">
        <v>51</v>
      </c>
      <c r="F234" s="79"/>
      <c r="G234" s="73">
        <v>502000</v>
      </c>
      <c r="H234" s="74">
        <f t="shared" si="4"/>
        <v>-753813</v>
      </c>
      <c r="J234" s="76"/>
    </row>
    <row r="235" spans="2:10" ht="17.100000000000001" customHeight="1" x14ac:dyDescent="0.25">
      <c r="B235" s="69">
        <v>46223</v>
      </c>
      <c r="C235" s="138" t="s">
        <v>165</v>
      </c>
      <c r="D235" s="70" t="s">
        <v>236</v>
      </c>
      <c r="E235" s="71" t="s">
        <v>51</v>
      </c>
      <c r="F235" s="79"/>
      <c r="G235" s="73">
        <v>34000</v>
      </c>
      <c r="H235" s="74">
        <f t="shared" si="4"/>
        <v>-787813</v>
      </c>
      <c r="J235" s="76"/>
    </row>
    <row r="236" spans="2:10" ht="17.100000000000001" customHeight="1" x14ac:dyDescent="0.25">
      <c r="B236" s="69"/>
      <c r="C236" s="125"/>
      <c r="D236" s="77"/>
      <c r="E236" s="71"/>
      <c r="F236" s="79"/>
      <c r="G236" s="73"/>
      <c r="H236" s="74">
        <f t="shared" si="4"/>
        <v>-787813</v>
      </c>
      <c r="J236" s="76"/>
    </row>
    <row r="237" spans="2:10" ht="17.100000000000001" customHeight="1" x14ac:dyDescent="0.25">
      <c r="B237" s="69"/>
      <c r="C237" s="125"/>
      <c r="D237" s="101"/>
      <c r="E237" s="71"/>
      <c r="F237" s="79"/>
      <c r="G237" s="73"/>
      <c r="H237" s="74"/>
      <c r="J237" s="76">
        <f>H236+'KAS SAYUR 2026'!H41</f>
        <v>3787</v>
      </c>
    </row>
    <row r="238" spans="2:10" ht="17.100000000000001" customHeight="1" x14ac:dyDescent="0.25">
      <c r="B238" s="69"/>
      <c r="C238" s="121"/>
      <c r="D238" s="78"/>
      <c r="E238" s="71"/>
      <c r="F238" s="79"/>
      <c r="G238" s="73"/>
      <c r="H238" s="74"/>
      <c r="J238" s="76"/>
    </row>
    <row r="239" spans="2:10" ht="17.100000000000001" customHeight="1" x14ac:dyDescent="0.25">
      <c r="B239" s="69"/>
      <c r="C239" s="121"/>
      <c r="D239" s="70"/>
      <c r="E239" s="71"/>
      <c r="F239" s="79"/>
      <c r="G239" s="73"/>
      <c r="H239" s="74"/>
      <c r="J239" s="76"/>
    </row>
    <row r="240" spans="2:10" ht="17.100000000000001" customHeight="1" x14ac:dyDescent="0.25">
      <c r="B240" s="69"/>
      <c r="C240" s="125"/>
      <c r="D240" s="77"/>
      <c r="E240" s="71"/>
      <c r="F240" s="79"/>
      <c r="G240" s="73"/>
      <c r="H240" s="74"/>
      <c r="J240" s="76"/>
    </row>
    <row r="241" spans="2:10" ht="17.100000000000001" customHeight="1" x14ac:dyDescent="0.25">
      <c r="B241" s="69"/>
      <c r="C241" s="125"/>
      <c r="D241" s="70"/>
      <c r="E241" s="71"/>
      <c r="F241" s="79"/>
      <c r="G241" s="73"/>
      <c r="H241" s="74"/>
      <c r="J241" s="76"/>
    </row>
    <row r="242" spans="2:10" ht="17.100000000000001" customHeight="1" x14ac:dyDescent="0.25">
      <c r="B242" s="69"/>
      <c r="C242" s="121"/>
      <c r="D242" s="77"/>
      <c r="E242" s="71"/>
      <c r="F242" s="79"/>
      <c r="G242" s="73"/>
      <c r="H242" s="74"/>
      <c r="J242" s="76"/>
    </row>
    <row r="243" spans="2:10" ht="17.100000000000001" customHeight="1" x14ac:dyDescent="0.25">
      <c r="B243" s="69"/>
      <c r="C243" s="125"/>
      <c r="D243" s="77"/>
      <c r="E243" s="71"/>
      <c r="F243" s="79"/>
      <c r="G243" s="73"/>
      <c r="H243" s="74"/>
      <c r="J243" s="76"/>
    </row>
    <row r="244" spans="2:10" ht="17.100000000000001" customHeight="1" x14ac:dyDescent="0.25">
      <c r="B244" s="69"/>
      <c r="C244" s="125"/>
      <c r="D244" s="70"/>
      <c r="E244" s="71"/>
      <c r="F244" s="79"/>
      <c r="G244" s="73"/>
      <c r="H244" s="74"/>
      <c r="J244" s="76"/>
    </row>
    <row r="245" spans="2:10" ht="17.100000000000001" customHeight="1" x14ac:dyDescent="0.25">
      <c r="B245" s="69"/>
      <c r="C245" s="121"/>
      <c r="D245" s="70"/>
      <c r="E245" s="71"/>
      <c r="F245" s="79"/>
      <c r="G245" s="73"/>
      <c r="H245" s="74"/>
      <c r="J245" s="76"/>
    </row>
    <row r="246" spans="2:10" ht="17.100000000000001" customHeight="1" x14ac:dyDescent="0.25">
      <c r="B246" s="69"/>
      <c r="C246" s="125"/>
      <c r="D246" s="77"/>
      <c r="E246" s="71"/>
      <c r="F246" s="79"/>
      <c r="G246" s="73"/>
      <c r="H246" s="74"/>
      <c r="J246" s="76"/>
    </row>
    <row r="247" spans="2:10" ht="17.100000000000001" customHeight="1" x14ac:dyDescent="0.25">
      <c r="B247" s="69"/>
      <c r="C247" s="125"/>
      <c r="D247" s="70"/>
      <c r="E247" s="71"/>
      <c r="F247" s="79"/>
      <c r="G247" s="73"/>
      <c r="H247" s="74"/>
      <c r="J247" s="76"/>
    </row>
    <row r="248" spans="2:10" ht="17.100000000000001" customHeight="1" x14ac:dyDescent="0.25">
      <c r="B248" s="69"/>
      <c r="C248" s="121"/>
      <c r="D248" s="70"/>
      <c r="E248" s="71"/>
      <c r="F248" s="79"/>
      <c r="G248" s="73"/>
      <c r="H248" s="74"/>
      <c r="J248" s="76"/>
    </row>
    <row r="249" spans="2:10" ht="17.100000000000001" customHeight="1" x14ac:dyDescent="0.25">
      <c r="B249" s="69"/>
      <c r="C249" s="125"/>
      <c r="D249" s="77"/>
      <c r="E249" s="71"/>
      <c r="F249" s="79"/>
      <c r="G249" s="73"/>
      <c r="H249" s="74"/>
      <c r="J249" s="76"/>
    </row>
    <row r="250" spans="2:10" ht="17.100000000000001" customHeight="1" x14ac:dyDescent="0.25">
      <c r="B250" s="69"/>
      <c r="C250" s="121"/>
      <c r="D250" s="78"/>
      <c r="E250" s="71"/>
      <c r="F250" s="79"/>
      <c r="G250" s="73"/>
      <c r="H250" s="74"/>
      <c r="J250" s="76"/>
    </row>
    <row r="251" spans="2:10" ht="17.100000000000001" customHeight="1" x14ac:dyDescent="0.25">
      <c r="B251" s="69"/>
      <c r="C251" s="121"/>
      <c r="D251" s="70"/>
      <c r="E251" s="71"/>
      <c r="F251" s="79"/>
      <c r="G251" s="73"/>
      <c r="H251" s="74"/>
      <c r="J251" s="76"/>
    </row>
    <row r="252" spans="2:10" ht="17.100000000000001" customHeight="1" x14ac:dyDescent="0.25">
      <c r="B252" s="69"/>
      <c r="C252" s="125"/>
      <c r="D252" s="77"/>
      <c r="E252" s="71"/>
      <c r="F252" s="79"/>
      <c r="G252" s="73"/>
      <c r="H252" s="74"/>
      <c r="J252" s="76"/>
    </row>
    <row r="253" spans="2:10" ht="17.100000000000001" customHeight="1" x14ac:dyDescent="0.25">
      <c r="B253" s="69"/>
      <c r="C253" s="125"/>
      <c r="D253" s="70"/>
      <c r="E253" s="71"/>
      <c r="F253" s="79"/>
      <c r="G253" s="73"/>
      <c r="H253" s="74"/>
      <c r="J253" s="76"/>
    </row>
    <row r="254" spans="2:10" ht="17.100000000000001" customHeight="1" x14ac:dyDescent="0.25">
      <c r="B254" s="69"/>
      <c r="C254" s="121"/>
      <c r="D254" s="70"/>
      <c r="E254" s="71"/>
      <c r="F254" s="79"/>
      <c r="G254" s="73"/>
      <c r="H254" s="74"/>
      <c r="J254" s="76"/>
    </row>
    <row r="255" spans="2:10" ht="17.100000000000001" customHeight="1" x14ac:dyDescent="0.25">
      <c r="B255" s="69"/>
      <c r="C255" s="125"/>
      <c r="D255" s="77"/>
      <c r="E255" s="71"/>
      <c r="F255" s="79"/>
      <c r="G255" s="73"/>
      <c r="H255" s="74"/>
      <c r="J255" s="76"/>
    </row>
    <row r="256" spans="2:10" ht="17.100000000000001" customHeight="1" x14ac:dyDescent="0.25">
      <c r="B256" s="69"/>
      <c r="C256" s="121"/>
      <c r="D256" s="78"/>
      <c r="E256" s="71"/>
      <c r="F256" s="79"/>
      <c r="G256" s="73"/>
      <c r="H256" s="74"/>
      <c r="J256" s="76"/>
    </row>
    <row r="257" spans="2:10" ht="17.100000000000001" customHeight="1" x14ac:dyDescent="0.25">
      <c r="B257" s="69"/>
      <c r="C257" s="121"/>
      <c r="D257" s="70"/>
      <c r="E257" s="71"/>
      <c r="F257" s="79"/>
      <c r="G257" s="73"/>
      <c r="H257" s="74"/>
      <c r="J257" s="76"/>
    </row>
    <row r="258" spans="2:10" ht="17.100000000000001" customHeight="1" x14ac:dyDescent="0.25">
      <c r="B258" s="69"/>
      <c r="C258" s="125"/>
      <c r="D258" s="77"/>
      <c r="E258" s="71"/>
      <c r="F258" s="79"/>
      <c r="G258" s="73"/>
      <c r="H258" s="74"/>
      <c r="J258" s="76"/>
    </row>
    <row r="259" spans="2:10" ht="17.100000000000001" customHeight="1" x14ac:dyDescent="0.25">
      <c r="B259" s="69"/>
      <c r="C259" s="121"/>
      <c r="D259" s="78"/>
      <c r="E259" s="71"/>
      <c r="F259" s="79"/>
      <c r="G259" s="73"/>
      <c r="H259" s="74"/>
      <c r="J259" s="76"/>
    </row>
    <row r="260" spans="2:10" ht="17.100000000000001" customHeight="1" x14ac:dyDescent="0.25">
      <c r="B260" s="69"/>
      <c r="C260" s="125"/>
      <c r="D260" s="70"/>
      <c r="E260" s="71"/>
      <c r="F260" s="79"/>
      <c r="G260" s="73"/>
      <c r="H260" s="74"/>
      <c r="J260" s="76"/>
    </row>
    <row r="261" spans="2:10" ht="17.100000000000001" customHeight="1" x14ac:dyDescent="0.25">
      <c r="B261" s="69"/>
      <c r="C261" s="121"/>
      <c r="D261" s="77"/>
      <c r="E261" s="71"/>
      <c r="F261" s="79"/>
      <c r="G261" s="73"/>
      <c r="H261" s="74"/>
      <c r="J261" s="76"/>
    </row>
    <row r="262" spans="2:10" ht="17.100000000000001" customHeight="1" x14ac:dyDescent="0.25">
      <c r="B262" s="63"/>
      <c r="C262" s="120"/>
      <c r="D262" s="93"/>
      <c r="E262" s="82"/>
      <c r="F262" s="83"/>
      <c r="G262" s="84"/>
      <c r="H262" s="74"/>
      <c r="J262" s="76"/>
    </row>
    <row r="263" spans="2:10" ht="17.100000000000001" customHeight="1" x14ac:dyDescent="0.25">
      <c r="B263" s="69"/>
      <c r="C263" s="121"/>
      <c r="D263" s="85"/>
      <c r="E263" s="71"/>
      <c r="F263" s="79"/>
      <c r="G263" s="73"/>
      <c r="H263" s="74"/>
      <c r="J263" s="76"/>
    </row>
    <row r="264" spans="2:10" ht="17.100000000000001" customHeight="1" x14ac:dyDescent="0.25">
      <c r="B264" s="69"/>
      <c r="C264" s="125"/>
      <c r="D264" s="70"/>
      <c r="E264" s="71"/>
      <c r="F264" s="79"/>
      <c r="G264" s="73"/>
      <c r="H264" s="74"/>
      <c r="J264" s="76"/>
    </row>
    <row r="265" spans="2:10" ht="17.100000000000001" customHeight="1" x14ac:dyDescent="0.25">
      <c r="B265" s="69"/>
      <c r="C265" s="121"/>
      <c r="D265" s="70"/>
      <c r="E265" s="71"/>
      <c r="F265" s="79"/>
      <c r="G265" s="73"/>
      <c r="H265" s="74"/>
      <c r="J265" s="76"/>
    </row>
    <row r="266" spans="2:10" ht="17.100000000000001" customHeight="1" x14ac:dyDescent="0.25">
      <c r="B266" s="69"/>
      <c r="C266" s="125"/>
      <c r="D266" s="77"/>
      <c r="E266" s="71"/>
      <c r="F266" s="79"/>
      <c r="G266" s="73"/>
      <c r="H266" s="74"/>
      <c r="J266" s="76"/>
    </row>
    <row r="267" spans="2:10" ht="17.100000000000001" customHeight="1" x14ac:dyDescent="0.25">
      <c r="B267" s="69"/>
      <c r="C267" s="121"/>
      <c r="D267" s="70"/>
      <c r="E267" s="71"/>
      <c r="F267" s="79"/>
      <c r="G267" s="73"/>
      <c r="H267" s="74"/>
      <c r="J267" s="76"/>
    </row>
    <row r="268" spans="2:10" ht="17.100000000000001" customHeight="1" x14ac:dyDescent="0.25">
      <c r="B268" s="69"/>
      <c r="C268" s="125"/>
      <c r="D268" s="77"/>
      <c r="E268" s="71"/>
      <c r="F268" s="79"/>
      <c r="G268" s="73"/>
      <c r="H268" s="74"/>
      <c r="J268" s="76"/>
    </row>
    <row r="269" spans="2:10" ht="17.100000000000001" customHeight="1" x14ac:dyDescent="0.25">
      <c r="B269" s="69"/>
      <c r="C269" s="121"/>
      <c r="D269" s="78"/>
      <c r="E269" s="71"/>
      <c r="F269" s="79"/>
      <c r="G269" s="73"/>
      <c r="H269" s="74"/>
      <c r="J269" s="76"/>
    </row>
    <row r="270" spans="2:10" ht="17.100000000000001" customHeight="1" x14ac:dyDescent="0.25">
      <c r="B270" s="69"/>
      <c r="C270" s="125"/>
      <c r="D270" s="70"/>
      <c r="E270" s="71"/>
      <c r="F270" s="79"/>
      <c r="G270" s="73"/>
      <c r="H270" s="74"/>
      <c r="J270" s="76"/>
    </row>
    <row r="271" spans="2:10" ht="17.100000000000001" customHeight="1" x14ac:dyDescent="0.25">
      <c r="B271" s="69"/>
      <c r="C271" s="121"/>
      <c r="D271" s="70"/>
      <c r="E271" s="71"/>
      <c r="F271" s="79"/>
      <c r="G271" s="73"/>
      <c r="H271" s="74"/>
      <c r="J271" s="76"/>
    </row>
    <row r="272" spans="2:10" ht="17.100000000000001" customHeight="1" x14ac:dyDescent="0.25">
      <c r="B272" s="69"/>
      <c r="C272" s="125"/>
      <c r="D272" s="77"/>
      <c r="E272" s="71"/>
      <c r="F272" s="79"/>
      <c r="G272" s="73"/>
      <c r="H272" s="74"/>
      <c r="J272" s="76"/>
    </row>
    <row r="273" spans="2:10" ht="17.100000000000001" customHeight="1" x14ac:dyDescent="0.25">
      <c r="B273" s="69"/>
      <c r="C273" s="121"/>
      <c r="D273" s="78"/>
      <c r="E273" s="71"/>
      <c r="F273" s="79"/>
      <c r="G273" s="73"/>
      <c r="H273" s="74"/>
      <c r="J273" s="76"/>
    </row>
    <row r="274" spans="2:10" ht="17.100000000000001" customHeight="1" x14ac:dyDescent="0.25">
      <c r="B274" s="69"/>
      <c r="C274" s="121"/>
      <c r="D274" s="70"/>
      <c r="E274" s="71"/>
      <c r="F274" s="79"/>
      <c r="G274" s="73"/>
      <c r="H274" s="74"/>
      <c r="J274" s="76"/>
    </row>
    <row r="275" spans="2:10" ht="17.100000000000001" customHeight="1" x14ac:dyDescent="0.25">
      <c r="B275" s="69"/>
      <c r="C275" s="125"/>
      <c r="D275" s="77"/>
      <c r="E275" s="71"/>
      <c r="F275" s="79"/>
      <c r="G275" s="73"/>
      <c r="H275" s="74"/>
      <c r="J275" s="76"/>
    </row>
    <row r="276" spans="2:10" ht="17.100000000000001" customHeight="1" x14ac:dyDescent="0.25">
      <c r="B276" s="69"/>
      <c r="C276" s="125"/>
      <c r="D276" s="77"/>
      <c r="E276" s="71"/>
      <c r="F276" s="79"/>
      <c r="G276" s="73"/>
      <c r="H276" s="74"/>
      <c r="J276" s="76"/>
    </row>
    <row r="277" spans="2:10" ht="17.100000000000001" customHeight="1" x14ac:dyDescent="0.25">
      <c r="B277" s="69"/>
      <c r="C277" s="121"/>
      <c r="D277" s="78"/>
      <c r="E277" s="71"/>
      <c r="F277" s="79"/>
      <c r="G277" s="73"/>
      <c r="H277" s="74"/>
      <c r="J277" s="76"/>
    </row>
    <row r="278" spans="2:10" ht="17.100000000000001" customHeight="1" x14ac:dyDescent="0.25">
      <c r="B278" s="69"/>
      <c r="C278" s="121"/>
      <c r="D278" s="85"/>
      <c r="E278" s="71"/>
      <c r="F278" s="79"/>
      <c r="G278" s="73"/>
      <c r="H278" s="74"/>
      <c r="J278" s="76"/>
    </row>
    <row r="279" spans="2:10" ht="17.100000000000001" customHeight="1" x14ac:dyDescent="0.25">
      <c r="B279" s="69"/>
      <c r="C279" s="121"/>
      <c r="D279" s="77"/>
      <c r="E279" s="71"/>
      <c r="F279" s="79"/>
      <c r="G279" s="73"/>
      <c r="H279" s="74"/>
      <c r="J279" s="76"/>
    </row>
    <row r="280" spans="2:10" ht="17.100000000000001" customHeight="1" x14ac:dyDescent="0.25">
      <c r="B280" s="69"/>
      <c r="C280" s="121"/>
      <c r="D280" s="70"/>
      <c r="E280" s="71"/>
      <c r="F280" s="79"/>
      <c r="G280" s="73"/>
      <c r="H280" s="74"/>
      <c r="J280" s="76"/>
    </row>
    <row r="281" spans="2:10" ht="17.100000000000001" customHeight="1" x14ac:dyDescent="0.25">
      <c r="B281" s="69"/>
      <c r="C281" s="125"/>
      <c r="D281" s="77"/>
      <c r="E281" s="71"/>
      <c r="F281" s="79"/>
      <c r="G281" s="73"/>
      <c r="H281" s="74"/>
      <c r="J281" s="76"/>
    </row>
    <row r="282" spans="2:10" ht="17.100000000000001" customHeight="1" x14ac:dyDescent="0.25">
      <c r="B282" s="69"/>
      <c r="C282" s="121"/>
      <c r="D282" s="70"/>
      <c r="E282" s="71"/>
      <c r="F282" s="79"/>
      <c r="G282" s="73"/>
      <c r="H282" s="74"/>
      <c r="J282" s="76"/>
    </row>
    <row r="283" spans="2:10" ht="17.100000000000001" customHeight="1" x14ac:dyDescent="0.25">
      <c r="B283" s="69"/>
      <c r="C283" s="125"/>
      <c r="D283" s="77"/>
      <c r="E283" s="71"/>
      <c r="F283" s="79"/>
      <c r="G283" s="73"/>
      <c r="H283" s="74"/>
      <c r="J283" s="76"/>
    </row>
    <row r="284" spans="2:10" ht="17.100000000000001" customHeight="1" x14ac:dyDescent="0.25">
      <c r="B284" s="69"/>
      <c r="C284" s="121"/>
      <c r="D284" s="78"/>
      <c r="E284" s="71"/>
      <c r="F284" s="79"/>
      <c r="G284" s="73"/>
      <c r="H284" s="74"/>
      <c r="J284" s="76"/>
    </row>
    <row r="285" spans="2:10" ht="17.100000000000001" customHeight="1" x14ac:dyDescent="0.25">
      <c r="B285" s="69"/>
      <c r="C285" s="121"/>
      <c r="D285" s="78"/>
      <c r="E285" s="71"/>
      <c r="F285" s="79"/>
      <c r="G285" s="73"/>
      <c r="H285" s="74"/>
      <c r="J285" s="76"/>
    </row>
    <row r="286" spans="2:10" ht="17.100000000000001" customHeight="1" x14ac:dyDescent="0.25">
      <c r="B286" s="69"/>
      <c r="C286" s="121"/>
      <c r="D286" s="70"/>
      <c r="E286" s="71"/>
      <c r="F286" s="79"/>
      <c r="G286" s="73"/>
      <c r="H286" s="74"/>
      <c r="J286" s="76"/>
    </row>
    <row r="287" spans="2:10" ht="17.100000000000001" customHeight="1" x14ac:dyDescent="0.25">
      <c r="B287" s="69"/>
      <c r="C287" s="125"/>
      <c r="D287" s="77"/>
      <c r="E287" s="71"/>
      <c r="F287" s="79"/>
      <c r="G287" s="73"/>
      <c r="H287" s="74"/>
      <c r="J287" s="76"/>
    </row>
    <row r="288" spans="2:10" ht="17.100000000000001" customHeight="1" x14ac:dyDescent="0.25">
      <c r="B288" s="69"/>
      <c r="C288" s="125"/>
      <c r="D288" s="70"/>
      <c r="E288" s="71"/>
      <c r="F288" s="79"/>
      <c r="G288" s="73"/>
      <c r="H288" s="74"/>
      <c r="J288" s="76"/>
    </row>
    <row r="289" spans="1:10" ht="17.100000000000001" customHeight="1" x14ac:dyDescent="0.25">
      <c r="B289" s="69"/>
      <c r="C289" s="121"/>
      <c r="D289" s="70"/>
      <c r="E289" s="71"/>
      <c r="F289" s="79"/>
      <c r="G289" s="73"/>
      <c r="H289" s="74"/>
      <c r="J289" s="76"/>
    </row>
    <row r="290" spans="1:10" ht="17.100000000000001" customHeight="1" x14ac:dyDescent="0.25">
      <c r="B290" s="69"/>
      <c r="C290" s="125"/>
      <c r="D290" s="77"/>
      <c r="E290" s="71"/>
      <c r="F290" s="79"/>
      <c r="G290" s="73"/>
      <c r="H290" s="74"/>
      <c r="J290" s="76"/>
    </row>
    <row r="291" spans="1:10" ht="17.100000000000001" customHeight="1" x14ac:dyDescent="0.25">
      <c r="A291" s="75" t="s">
        <v>17</v>
      </c>
      <c r="B291" s="69"/>
      <c r="C291" s="121"/>
      <c r="D291" s="77"/>
      <c r="E291" s="71"/>
      <c r="F291" s="79"/>
      <c r="G291" s="73"/>
      <c r="H291" s="74"/>
      <c r="J291" s="76"/>
    </row>
    <row r="292" spans="1:10" ht="17.100000000000001" customHeight="1" x14ac:dyDescent="0.25">
      <c r="B292" s="69"/>
      <c r="C292" s="121"/>
      <c r="D292" s="85"/>
      <c r="E292" s="71"/>
      <c r="F292" s="79"/>
      <c r="G292" s="73"/>
      <c r="H292" s="74"/>
      <c r="J292" s="76"/>
    </row>
    <row r="293" spans="1:10" ht="17.100000000000001" customHeight="1" x14ac:dyDescent="0.25">
      <c r="B293" s="69"/>
      <c r="C293" s="126"/>
      <c r="D293" s="103"/>
      <c r="E293" s="104"/>
      <c r="F293" s="105"/>
      <c r="G293" s="106"/>
      <c r="H293" s="74"/>
      <c r="J293" s="76"/>
    </row>
    <row r="294" spans="1:10" ht="17.100000000000001" customHeight="1" x14ac:dyDescent="0.25">
      <c r="B294" s="69"/>
      <c r="C294" s="127"/>
      <c r="D294" s="107"/>
      <c r="E294" s="108"/>
      <c r="F294" s="81"/>
      <c r="G294" s="109"/>
      <c r="H294" s="74"/>
    </row>
    <row r="295" spans="1:10" ht="17.100000000000001" customHeight="1" x14ac:dyDescent="0.25">
      <c r="B295" s="69"/>
      <c r="C295" s="125"/>
      <c r="D295" s="70"/>
      <c r="E295" s="71"/>
      <c r="F295" s="79"/>
      <c r="G295" s="73"/>
      <c r="H295" s="74"/>
    </row>
    <row r="296" spans="1:10" ht="17.100000000000001" customHeight="1" x14ac:dyDescent="0.25">
      <c r="B296" s="69"/>
      <c r="C296" s="121"/>
      <c r="D296" s="70"/>
      <c r="E296" s="71"/>
      <c r="F296" s="79"/>
      <c r="G296" s="73"/>
      <c r="H296" s="74"/>
    </row>
    <row r="297" spans="1:10" ht="17.100000000000001" customHeight="1" x14ac:dyDescent="0.25">
      <c r="B297" s="69"/>
      <c r="C297" s="125"/>
      <c r="D297" s="77"/>
      <c r="E297" s="71"/>
      <c r="F297" s="79"/>
      <c r="G297" s="73"/>
      <c r="H297" s="74"/>
    </row>
    <row r="298" spans="1:10" ht="17.100000000000001" customHeight="1" x14ac:dyDescent="0.25">
      <c r="B298" s="69"/>
      <c r="C298" s="125"/>
      <c r="D298" s="70"/>
      <c r="E298" s="108"/>
      <c r="F298" s="81"/>
      <c r="G298" s="109"/>
      <c r="H298" s="74"/>
    </row>
    <row r="299" spans="1:10" ht="17.100000000000001" customHeight="1" x14ac:dyDescent="0.25">
      <c r="B299" s="69"/>
      <c r="C299" s="121"/>
      <c r="D299" s="70"/>
      <c r="E299" s="71"/>
      <c r="F299" s="79"/>
      <c r="G299" s="73"/>
      <c r="H299" s="74"/>
    </row>
    <row r="300" spans="1:10" ht="17.100000000000001" customHeight="1" x14ac:dyDescent="0.25">
      <c r="B300" s="69"/>
      <c r="C300" s="125"/>
      <c r="D300" s="77"/>
      <c r="E300" s="71"/>
      <c r="F300" s="79"/>
      <c r="G300" s="73"/>
      <c r="H300" s="74"/>
    </row>
    <row r="301" spans="1:10" ht="17.100000000000001" customHeight="1" x14ac:dyDescent="0.25">
      <c r="B301" s="69"/>
      <c r="C301" s="121"/>
      <c r="D301" s="78"/>
      <c r="E301" s="71"/>
      <c r="F301" s="79"/>
      <c r="G301" s="73"/>
      <c r="H301" s="74"/>
    </row>
    <row r="302" spans="1:10" ht="17.100000000000001" customHeight="1" x14ac:dyDescent="0.25">
      <c r="B302" s="69"/>
      <c r="C302" s="125"/>
      <c r="D302" s="70"/>
      <c r="E302" s="71"/>
      <c r="F302" s="79"/>
      <c r="G302" s="73"/>
      <c r="H302" s="74"/>
    </row>
    <row r="303" spans="1:10" ht="17.100000000000001" customHeight="1" x14ac:dyDescent="0.25">
      <c r="B303" s="69"/>
      <c r="C303" s="121"/>
      <c r="D303" s="70"/>
      <c r="E303" s="71"/>
      <c r="F303" s="79"/>
      <c r="G303" s="73"/>
      <c r="H303" s="74"/>
    </row>
    <row r="304" spans="1:10" ht="17.100000000000001" customHeight="1" x14ac:dyDescent="0.25">
      <c r="B304" s="69"/>
      <c r="C304" s="125"/>
      <c r="D304" s="77"/>
      <c r="E304" s="71"/>
      <c r="F304" s="79"/>
      <c r="G304" s="73"/>
      <c r="H304" s="74"/>
    </row>
    <row r="305" spans="2:8" ht="17.100000000000001" customHeight="1" x14ac:dyDescent="0.25">
      <c r="B305" s="69"/>
      <c r="C305" s="121"/>
      <c r="D305" s="78"/>
      <c r="E305" s="71"/>
      <c r="F305" s="79"/>
      <c r="G305" s="73"/>
      <c r="H305" s="74"/>
    </row>
    <row r="306" spans="2:8" ht="17.100000000000001" customHeight="1" x14ac:dyDescent="0.25">
      <c r="B306" s="69"/>
      <c r="C306" s="121"/>
      <c r="D306" s="70"/>
      <c r="E306" s="71"/>
      <c r="F306" s="79"/>
      <c r="G306" s="73"/>
      <c r="H306" s="74"/>
    </row>
    <row r="307" spans="2:8" ht="17.100000000000001" customHeight="1" x14ac:dyDescent="0.25">
      <c r="B307" s="69"/>
      <c r="C307" s="127"/>
      <c r="D307" s="107"/>
      <c r="E307" s="108"/>
      <c r="F307" s="81"/>
      <c r="G307" s="109"/>
      <c r="H307" s="74"/>
    </row>
    <row r="308" spans="2:8" ht="17.100000000000001" customHeight="1" x14ac:dyDescent="0.25">
      <c r="B308" s="69"/>
      <c r="C308" s="121"/>
      <c r="D308" s="70"/>
      <c r="E308" s="71"/>
      <c r="F308" s="79"/>
      <c r="G308" s="73"/>
      <c r="H308" s="74"/>
    </row>
    <row r="309" spans="2:8" ht="17.100000000000001" customHeight="1" x14ac:dyDescent="0.25">
      <c r="B309" s="69"/>
      <c r="C309" s="125"/>
      <c r="D309" s="77"/>
      <c r="E309" s="71"/>
      <c r="F309" s="79"/>
      <c r="G309" s="73"/>
      <c r="H309" s="74"/>
    </row>
    <row r="310" spans="2:8" ht="17.100000000000001" customHeight="1" x14ac:dyDescent="0.25">
      <c r="B310" s="69"/>
      <c r="C310" s="121"/>
      <c r="D310" s="78"/>
      <c r="E310" s="71"/>
      <c r="F310" s="79"/>
      <c r="G310" s="73"/>
      <c r="H310" s="74"/>
    </row>
    <row r="311" spans="2:8" ht="17.100000000000001" customHeight="1" x14ac:dyDescent="0.25">
      <c r="B311" s="69"/>
      <c r="C311" s="125"/>
      <c r="D311" s="70"/>
      <c r="E311" s="71"/>
      <c r="F311" s="79"/>
      <c r="G311" s="73"/>
      <c r="H311" s="74"/>
    </row>
    <row r="312" spans="2:8" ht="17.100000000000001" customHeight="1" x14ac:dyDescent="0.25">
      <c r="B312" s="69"/>
      <c r="C312" s="121"/>
      <c r="D312" s="70"/>
      <c r="E312" s="71"/>
      <c r="F312" s="79"/>
      <c r="G312" s="73"/>
      <c r="H312" s="74"/>
    </row>
    <row r="313" spans="2:8" ht="17.100000000000001" customHeight="1" x14ac:dyDescent="0.25">
      <c r="B313" s="69"/>
      <c r="C313" s="125"/>
      <c r="D313" s="77"/>
      <c r="E313" s="71"/>
      <c r="F313" s="79"/>
      <c r="G313" s="73"/>
      <c r="H313" s="74"/>
    </row>
    <row r="314" spans="2:8" ht="17.100000000000001" customHeight="1" x14ac:dyDescent="0.25">
      <c r="B314" s="69"/>
      <c r="C314" s="121"/>
      <c r="D314" s="78"/>
      <c r="E314" s="71"/>
      <c r="F314" s="79"/>
      <c r="G314" s="73"/>
      <c r="H314" s="74"/>
    </row>
    <row r="315" spans="2:8" ht="17.100000000000001" customHeight="1" x14ac:dyDescent="0.25">
      <c r="B315" s="69"/>
      <c r="C315" s="121"/>
      <c r="D315" s="70"/>
      <c r="E315" s="71"/>
      <c r="F315" s="79"/>
      <c r="G315" s="73"/>
      <c r="H315" s="74"/>
    </row>
    <row r="316" spans="2:8" ht="17.100000000000001" customHeight="1" x14ac:dyDescent="0.25">
      <c r="B316" s="69"/>
      <c r="C316" s="125"/>
      <c r="D316" s="77"/>
      <c r="E316" s="71"/>
      <c r="F316" s="79"/>
      <c r="G316" s="73"/>
      <c r="H316" s="74"/>
    </row>
    <row r="317" spans="2:8" ht="17.100000000000001" customHeight="1" x14ac:dyDescent="0.25">
      <c r="B317" s="69"/>
      <c r="C317" s="125"/>
      <c r="D317" s="70"/>
      <c r="E317" s="71"/>
      <c r="F317" s="79"/>
      <c r="G317" s="73"/>
      <c r="H317" s="74"/>
    </row>
    <row r="318" spans="2:8" ht="17.100000000000001" customHeight="1" x14ac:dyDescent="0.25">
      <c r="B318" s="69"/>
      <c r="C318" s="121"/>
      <c r="D318" s="70"/>
      <c r="E318" s="71"/>
      <c r="F318" s="79"/>
      <c r="G318" s="73"/>
      <c r="H318" s="74"/>
    </row>
    <row r="319" spans="2:8" ht="17.100000000000001" customHeight="1" x14ac:dyDescent="0.25">
      <c r="B319" s="69"/>
      <c r="C319" s="127"/>
      <c r="D319" s="107"/>
      <c r="E319" s="108"/>
      <c r="F319" s="81"/>
      <c r="G319" s="109"/>
      <c r="H319" s="74"/>
    </row>
    <row r="320" spans="2:8" ht="17.100000000000001" customHeight="1" x14ac:dyDescent="0.25">
      <c r="B320" s="69"/>
      <c r="C320" s="127"/>
      <c r="D320" s="107"/>
      <c r="E320" s="108"/>
      <c r="F320" s="81"/>
      <c r="G320" s="109"/>
      <c r="H320" s="74"/>
    </row>
    <row r="321" spans="2:10" ht="17.100000000000001" customHeight="1" x14ac:dyDescent="0.25">
      <c r="B321" s="69"/>
      <c r="C321" s="125"/>
      <c r="D321" s="70"/>
      <c r="E321" s="71"/>
      <c r="F321" s="79"/>
      <c r="G321" s="73"/>
      <c r="H321" s="74"/>
    </row>
    <row r="322" spans="2:10" ht="17.100000000000001" customHeight="1" x14ac:dyDescent="0.25">
      <c r="B322" s="69"/>
      <c r="C322" s="121"/>
      <c r="D322" s="70"/>
      <c r="E322" s="71"/>
      <c r="F322" s="79"/>
      <c r="G322" s="73"/>
      <c r="H322" s="74"/>
    </row>
    <row r="323" spans="2:10" ht="17.100000000000001" customHeight="1" x14ac:dyDescent="0.25">
      <c r="B323" s="69"/>
      <c r="C323" s="125"/>
      <c r="D323" s="77"/>
      <c r="E323" s="71"/>
      <c r="F323" s="79"/>
      <c r="G323" s="73"/>
      <c r="H323" s="74"/>
    </row>
    <row r="324" spans="2:10" ht="17.100000000000001" customHeight="1" x14ac:dyDescent="0.25">
      <c r="B324" s="69"/>
      <c r="C324" s="125"/>
      <c r="D324" s="70"/>
      <c r="E324" s="71"/>
      <c r="F324" s="79"/>
      <c r="G324" s="73"/>
      <c r="H324" s="74"/>
    </row>
    <row r="325" spans="2:10" ht="17.100000000000001" customHeight="1" x14ac:dyDescent="0.25">
      <c r="B325" s="69"/>
      <c r="C325" s="121"/>
      <c r="D325" s="70"/>
      <c r="E325" s="71"/>
      <c r="F325" s="79"/>
      <c r="G325" s="73"/>
      <c r="H325" s="74"/>
    </row>
    <row r="326" spans="2:10" ht="17.100000000000001" customHeight="1" x14ac:dyDescent="0.25">
      <c r="B326" s="69"/>
      <c r="C326" s="125"/>
      <c r="D326" s="77"/>
      <c r="E326" s="108"/>
      <c r="F326" s="81"/>
      <c r="G326" s="109"/>
      <c r="H326" s="74"/>
    </row>
    <row r="327" spans="2:10" ht="17.100000000000001" customHeight="1" x14ac:dyDescent="0.25">
      <c r="B327" s="69"/>
      <c r="C327" s="127"/>
      <c r="D327" s="107"/>
      <c r="E327" s="108"/>
      <c r="F327" s="81"/>
      <c r="G327" s="109"/>
      <c r="H327" s="74"/>
    </row>
    <row r="328" spans="2:10" ht="17.100000000000001" customHeight="1" x14ac:dyDescent="0.25">
      <c r="B328" s="69"/>
      <c r="C328" s="127"/>
      <c r="D328" s="107"/>
      <c r="E328" s="108"/>
      <c r="F328" s="81"/>
      <c r="G328" s="109"/>
      <c r="H328" s="74"/>
    </row>
    <row r="329" spans="2:10" ht="17.100000000000001" customHeight="1" x14ac:dyDescent="0.25">
      <c r="B329" s="69"/>
      <c r="C329" s="127"/>
      <c r="D329" s="107"/>
      <c r="E329" s="108"/>
      <c r="F329" s="81"/>
      <c r="G329" s="109"/>
      <c r="H329" s="74"/>
    </row>
    <row r="330" spans="2:10" ht="17.100000000000001" customHeight="1" x14ac:dyDescent="0.25">
      <c r="B330" s="69"/>
      <c r="C330" s="127"/>
      <c r="D330" s="107"/>
      <c r="E330" s="108"/>
      <c r="F330" s="81"/>
      <c r="G330" s="109"/>
      <c r="H330" s="74"/>
    </row>
    <row r="331" spans="2:10" ht="17.100000000000001" customHeight="1" x14ac:dyDescent="0.25">
      <c r="B331" s="69"/>
      <c r="C331" s="121"/>
      <c r="D331" s="70"/>
      <c r="E331" s="71"/>
      <c r="F331" s="79"/>
      <c r="G331" s="73"/>
      <c r="H331" s="74"/>
    </row>
    <row r="332" spans="2:10" ht="17.100000000000001" customHeight="1" x14ac:dyDescent="0.25">
      <c r="B332" s="69"/>
      <c r="C332" s="125"/>
      <c r="D332" s="77"/>
      <c r="E332" s="71"/>
      <c r="F332" s="79"/>
      <c r="G332" s="73"/>
      <c r="H332" s="74"/>
    </row>
    <row r="333" spans="2:10" ht="17.100000000000001" customHeight="1" x14ac:dyDescent="0.25">
      <c r="B333" s="69"/>
      <c r="C333" s="121"/>
      <c r="D333" s="78"/>
      <c r="E333" s="71"/>
      <c r="F333" s="79"/>
      <c r="G333" s="73"/>
      <c r="H333" s="74"/>
    </row>
    <row r="334" spans="2:10" ht="17.100000000000001" customHeight="1" x14ac:dyDescent="0.25">
      <c r="B334" s="69"/>
      <c r="C334" s="125"/>
      <c r="D334" s="70"/>
      <c r="E334" s="71"/>
      <c r="F334" s="79"/>
      <c r="G334" s="73"/>
      <c r="H334" s="74"/>
      <c r="J334" s="76"/>
    </row>
    <row r="335" spans="2:10" ht="17.100000000000001" customHeight="1" x14ac:dyDescent="0.25">
      <c r="B335" s="69"/>
      <c r="C335" s="121"/>
      <c r="D335" s="70"/>
      <c r="E335" s="71"/>
      <c r="F335" s="79"/>
      <c r="G335" s="73"/>
      <c r="H335" s="74"/>
    </row>
    <row r="336" spans="2:10" ht="17.100000000000001" customHeight="1" x14ac:dyDescent="0.25">
      <c r="B336" s="69"/>
      <c r="C336" s="125"/>
      <c r="D336" s="77"/>
      <c r="E336" s="71"/>
      <c r="F336" s="79"/>
      <c r="G336" s="73"/>
      <c r="H336" s="74"/>
    </row>
    <row r="337" spans="2:10" ht="17.100000000000001" customHeight="1" x14ac:dyDescent="0.25">
      <c r="B337" s="69"/>
      <c r="C337" s="125"/>
      <c r="D337" s="70"/>
      <c r="E337" s="71"/>
      <c r="F337" s="79"/>
      <c r="G337" s="73"/>
      <c r="H337" s="74"/>
    </row>
    <row r="338" spans="2:10" ht="17.100000000000001" customHeight="1" x14ac:dyDescent="0.25">
      <c r="B338" s="69"/>
      <c r="C338" s="121"/>
      <c r="D338" s="70"/>
      <c r="E338" s="71"/>
      <c r="F338" s="79"/>
      <c r="G338" s="73"/>
      <c r="H338" s="74"/>
    </row>
    <row r="339" spans="2:10" ht="17.100000000000001" customHeight="1" x14ac:dyDescent="0.25">
      <c r="B339" s="69"/>
      <c r="C339" s="125"/>
      <c r="D339" s="77"/>
      <c r="E339" s="108"/>
      <c r="F339" s="81"/>
      <c r="G339" s="109"/>
      <c r="H339" s="74"/>
    </row>
    <row r="340" spans="2:10" ht="17.100000000000001" customHeight="1" x14ac:dyDescent="0.25">
      <c r="B340" s="69"/>
      <c r="C340" s="121"/>
      <c r="D340" s="78"/>
      <c r="E340" s="71"/>
      <c r="F340" s="79"/>
      <c r="G340" s="73"/>
      <c r="H340" s="74"/>
    </row>
    <row r="341" spans="2:10" ht="17.100000000000001" customHeight="1" x14ac:dyDescent="0.25">
      <c r="B341" s="69"/>
      <c r="C341" s="121"/>
      <c r="D341" s="70"/>
      <c r="E341" s="71"/>
      <c r="F341" s="79"/>
      <c r="G341" s="73"/>
      <c r="H341" s="74"/>
    </row>
    <row r="342" spans="2:10" ht="17.100000000000001" customHeight="1" x14ac:dyDescent="0.25">
      <c r="B342" s="69"/>
      <c r="C342" s="127"/>
      <c r="D342" s="107"/>
      <c r="E342" s="108"/>
      <c r="F342" s="81"/>
      <c r="G342" s="109"/>
      <c r="H342" s="74"/>
    </row>
    <row r="343" spans="2:10" ht="17.100000000000001" customHeight="1" x14ac:dyDescent="0.25">
      <c r="B343" s="69"/>
      <c r="C343" s="127"/>
      <c r="D343" s="107"/>
      <c r="E343" s="108"/>
      <c r="F343" s="81"/>
      <c r="G343" s="109"/>
      <c r="H343" s="74"/>
    </row>
    <row r="344" spans="2:10" ht="17.100000000000001" customHeight="1" x14ac:dyDescent="0.25">
      <c r="B344" s="69"/>
      <c r="C344" s="127"/>
      <c r="D344" s="107"/>
      <c r="E344" s="108"/>
      <c r="F344" s="81"/>
      <c r="G344" s="109"/>
      <c r="H344" s="74"/>
    </row>
    <row r="345" spans="2:10" ht="17.100000000000001" customHeight="1" x14ac:dyDescent="0.25">
      <c r="J345" s="76"/>
    </row>
    <row r="526" spans="10:10" ht="17.100000000000001" customHeight="1" x14ac:dyDescent="0.25">
      <c r="J526" s="76"/>
    </row>
  </sheetData>
  <autoFilter ref="C8:H293" xr:uid="{00000000-0001-0000-0100-000000000000}"/>
  <mergeCells count="7">
    <mergeCell ref="B2:H3"/>
    <mergeCell ref="E6:E7"/>
    <mergeCell ref="F6:F7"/>
    <mergeCell ref="G6:G7"/>
    <mergeCell ref="B4:H4"/>
    <mergeCell ref="B6:B7"/>
    <mergeCell ref="H6:H7"/>
  </mergeCells>
  <phoneticPr fontId="18" type="noConversion"/>
  <pageMargins left="0.12" right="0.12" top="0.12" bottom="0.12" header="0.3" footer="0.3"/>
  <pageSetup paperSize="9" scale="9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KAS SAYUR 2026</vt:lpstr>
      <vt:lpstr>KAS KEBUN JULI 26</vt:lpstr>
      <vt:lpstr>'KAS KEBUN JULI 26'!Print_Area</vt:lpstr>
      <vt:lpstr>'KAS SAYUR 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Windows User</cp:lastModifiedBy>
  <cp:lastPrinted>2026-07-09T02:51:39Z</cp:lastPrinted>
  <dcterms:created xsi:type="dcterms:W3CDTF">2024-05-01T08:36:00Z</dcterms:created>
  <dcterms:modified xsi:type="dcterms:W3CDTF">2026-07-21T01:38:58Z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90B9DF497D264E39936C0B9707CBD009_12</vt:lpwstr>
  </property>
  <property fmtid="{D5CDD505-2E9C-101B-9397-08002B2CF9AE}" pid="3" name="KSOProductBuildVer">
    <vt:lpwstr>1033-12.2.0.13472</vt:lpwstr>
  </property>
</Properties>
</file>